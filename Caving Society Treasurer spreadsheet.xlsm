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eeds365-my.sharepoint.com/personal/ed12bh_leeds_ac_uk/Documents/Life Stuff/Caving/"/>
    </mc:Choice>
  </mc:AlternateContent>
  <xr:revisionPtr revIDLastSave="4" documentId="11_5F37201479F246237098FAEBFB6C265AD31F477A" xr6:coauthVersionLast="45" xr6:coauthVersionMax="45" xr10:uidLastSave="{DD67F6EE-DEC3-4093-BE9E-316684703AD6}"/>
  <bookViews>
    <workbookView xWindow="-120" yWindow="-120" windowWidth="29040" windowHeight="15840" tabRatio="901" activeTab="1" xr2:uid="{00000000-000D-0000-FFFF-FFFF00000000}"/>
  </bookViews>
  <sheets>
    <sheet name="Summary" sheetId="35" r:id="rId1"/>
    <sheet name="Trip (1)" sheetId="1" r:id="rId2"/>
    <sheet name="Trip (2)" sheetId="82" r:id="rId3"/>
    <sheet name="Trip (3)" sheetId="111" r:id="rId4"/>
    <sheet name="Trip (4)" sheetId="84" r:id="rId5"/>
    <sheet name="Trip (5)" sheetId="85" r:id="rId6"/>
    <sheet name="Trip (6)" sheetId="86" r:id="rId7"/>
    <sheet name="Trip (7)" sheetId="87" r:id="rId8"/>
    <sheet name="Trip (8)" sheetId="88" r:id="rId9"/>
    <sheet name="Trip (9)" sheetId="89" r:id="rId10"/>
    <sheet name="Trip (10)" sheetId="90" r:id="rId11"/>
    <sheet name="Trip (12)" sheetId="92" r:id="rId12"/>
    <sheet name="Trip (11)" sheetId="91" r:id="rId13"/>
    <sheet name="Trip (13)" sheetId="93" r:id="rId14"/>
    <sheet name="Trip (14)" sheetId="94" r:id="rId15"/>
    <sheet name="Trip (15)" sheetId="95" r:id="rId16"/>
    <sheet name="Trip (16)" sheetId="96" r:id="rId17"/>
    <sheet name="Trip (17)" sheetId="97" r:id="rId18"/>
    <sheet name="Trip (18)" sheetId="98" r:id="rId19"/>
    <sheet name="Trip (19)" sheetId="99" r:id="rId20"/>
    <sheet name="Trip (20)" sheetId="100" r:id="rId21"/>
    <sheet name="Trip (21)" sheetId="101" r:id="rId22"/>
    <sheet name="Trip (22)" sheetId="102" r:id="rId23"/>
    <sheet name="Trip (23)" sheetId="103" r:id="rId24"/>
    <sheet name="Trip (24)" sheetId="104" r:id="rId25"/>
    <sheet name="Trip (25)" sheetId="105" r:id="rId26"/>
    <sheet name="Trip (26)" sheetId="106" r:id="rId27"/>
    <sheet name="Trip (27)" sheetId="107" r:id="rId28"/>
    <sheet name="Trip (28)" sheetId="108" r:id="rId29"/>
    <sheet name="Trip (29)" sheetId="109" r:id="rId30"/>
    <sheet name="Trip (30)" sheetId="110" r:id="rId31"/>
  </sheets>
  <externalReferences>
    <externalReference r:id="rId32"/>
  </externalReferences>
  <definedNames>
    <definedName name="_xlnm._FilterDatabase" localSheetId="1" hidden="1">'Trip (1)'!$A$14:$A$65</definedName>
    <definedName name="_xlnm._FilterDatabase" localSheetId="10" hidden="1">'Trip (10)'!$A$14:$A$65</definedName>
    <definedName name="_xlnm._FilterDatabase" localSheetId="12" hidden="1">'Trip (11)'!$A$14:$A$65</definedName>
    <definedName name="_xlnm._FilterDatabase" localSheetId="11" hidden="1">'Trip (12)'!$A$14:$A$65</definedName>
    <definedName name="_xlnm._FilterDatabase" localSheetId="13" hidden="1">'Trip (13)'!$A$14:$A$65</definedName>
    <definedName name="_xlnm._FilterDatabase" localSheetId="14" hidden="1">'Trip (14)'!$A$14:$A$65</definedName>
    <definedName name="_xlnm._FilterDatabase" localSheetId="15" hidden="1">'Trip (15)'!$A$14:$A$65</definedName>
    <definedName name="_xlnm._FilterDatabase" localSheetId="16" hidden="1">'Trip (16)'!$A$14:$A$65</definedName>
    <definedName name="_xlnm._FilterDatabase" localSheetId="17" hidden="1">'Trip (17)'!$A$14:$A$65</definedName>
    <definedName name="_xlnm._FilterDatabase" localSheetId="18" hidden="1">'Trip (18)'!$A$14:$A$65</definedName>
    <definedName name="_xlnm._FilterDatabase" localSheetId="19" hidden="1">'Trip (19)'!$A$14:$A$65</definedName>
    <definedName name="_xlnm._FilterDatabase" localSheetId="2" hidden="1">'Trip (2)'!$A$14:$A$65</definedName>
    <definedName name="_xlnm._FilterDatabase" localSheetId="20" hidden="1">'Trip (20)'!$A$14:$A$65</definedName>
    <definedName name="_xlnm._FilterDatabase" localSheetId="21" hidden="1">'Trip (21)'!$A$14:$A$65</definedName>
    <definedName name="_xlnm._FilterDatabase" localSheetId="22" hidden="1">'Trip (22)'!$A$14:$A$65</definedName>
    <definedName name="_xlnm._FilterDatabase" localSheetId="23" hidden="1">'Trip (23)'!$A$14:$A$65</definedName>
    <definedName name="_xlnm._FilterDatabase" localSheetId="24" hidden="1">'Trip (24)'!$A$14:$A$65</definedName>
    <definedName name="_xlnm._FilterDatabase" localSheetId="25" hidden="1">'Trip (25)'!$A$14:$A$65</definedName>
    <definedName name="_xlnm._FilterDatabase" localSheetId="26" hidden="1">'Trip (26)'!$A$14:$A$65</definedName>
    <definedName name="_xlnm._FilterDatabase" localSheetId="27" hidden="1">'Trip (27)'!$A$14:$A$65</definedName>
    <definedName name="_xlnm._FilterDatabase" localSheetId="28" hidden="1">'Trip (28)'!$A$14:$A$65</definedName>
    <definedName name="_xlnm._FilterDatabase" localSheetId="29" hidden="1">'Trip (29)'!$A$14:$A$65</definedName>
    <definedName name="_xlnm._FilterDatabase" localSheetId="3" hidden="1">'Trip (3)'!$A$14:$A$65</definedName>
    <definedName name="_xlnm._FilterDatabase" localSheetId="30" hidden="1">'Trip (30)'!$A$14:$A$65</definedName>
    <definedName name="_xlnm._FilterDatabase" localSheetId="4" hidden="1">'Trip (4)'!$A$14:$A$65</definedName>
    <definedName name="_xlnm._FilterDatabase" localSheetId="5" hidden="1">'Trip (5)'!$A$14:$A$65</definedName>
    <definedName name="_xlnm._FilterDatabase" localSheetId="6" hidden="1">'Trip (6)'!$A$14:$A$65</definedName>
    <definedName name="_xlnm._FilterDatabase" localSheetId="7" hidden="1">'Trip (7)'!$A$14:$A$65</definedName>
    <definedName name="_xlnm._FilterDatabase" localSheetId="8" hidden="1">'Trip (8)'!$A$14:$A$65</definedName>
    <definedName name="_xlnm._FilterDatabase" localSheetId="9" hidden="1">'Trip (9)'!$A$14:$A$65</definedName>
    <definedName name="Attendee">'[1]Setup Page'!$C$8:$C$55</definedName>
    <definedName name="Individuals">'[1]Setup Page'!$H$8:$H$19</definedName>
    <definedName name="Names" localSheetId="10">#REF!</definedName>
    <definedName name="Names" localSheetId="11">#REF!</definedName>
    <definedName name="Names" localSheetId="14">#REF!</definedName>
    <definedName name="Names" localSheetId="16">#REF!</definedName>
    <definedName name="Names" localSheetId="18">#REF!</definedName>
    <definedName name="Names" localSheetId="2">#REF!</definedName>
    <definedName name="Names" localSheetId="20">#REF!</definedName>
    <definedName name="Names" localSheetId="22">#REF!</definedName>
    <definedName name="Names" localSheetId="24">#REF!</definedName>
    <definedName name="Names" localSheetId="26">#REF!</definedName>
    <definedName name="Names" localSheetId="28">#REF!</definedName>
    <definedName name="Names" localSheetId="3">#REF!</definedName>
    <definedName name="Names" localSheetId="30">#REF!</definedName>
    <definedName name="Names" localSheetId="4">#REF!</definedName>
    <definedName name="Names" localSheetId="6">#REF!</definedName>
    <definedName name="Names" localSheetId="8">#REF!</definedName>
    <definedName name="Names">#REF!</definedName>
    <definedName name="_xlnm.Print_Area" localSheetId="0">Summary!$A$1:$M$58</definedName>
    <definedName name="_xlnm.Print_Area" localSheetId="1">'Trip (1)'!$A$1:$S$68</definedName>
    <definedName name="_xlnm.Print_Area" localSheetId="10">'Trip (10)'!$A$1:$S$68</definedName>
    <definedName name="_xlnm.Print_Area" localSheetId="12">'Trip (11)'!$A$1:$S$68</definedName>
    <definedName name="_xlnm.Print_Area" localSheetId="11">'Trip (12)'!$A$1:$S$68</definedName>
    <definedName name="_xlnm.Print_Area" localSheetId="13">'Trip (13)'!$A$1:$S$68</definedName>
    <definedName name="_xlnm.Print_Area" localSheetId="14">'Trip (14)'!$A$1:$S$68</definedName>
    <definedName name="_xlnm.Print_Area" localSheetId="15">'Trip (15)'!$A$1:$S$68</definedName>
    <definedName name="_xlnm.Print_Area" localSheetId="16">'Trip (16)'!$A$1:$S$68</definedName>
    <definedName name="_xlnm.Print_Area" localSheetId="17">'Trip (17)'!$A$1:$S$68</definedName>
    <definedName name="_xlnm.Print_Area" localSheetId="18">'Trip (18)'!$A$1:$S$68</definedName>
    <definedName name="_xlnm.Print_Area" localSheetId="19">'Trip (19)'!$A$1:$S$68</definedName>
    <definedName name="_xlnm.Print_Area" localSheetId="2">'Trip (2)'!$A$1:$S$68</definedName>
    <definedName name="_xlnm.Print_Area" localSheetId="20">'Trip (20)'!$A$1:$S$68</definedName>
    <definedName name="_xlnm.Print_Area" localSheetId="21">'Trip (21)'!$A$1:$S$68</definedName>
    <definedName name="_xlnm.Print_Area" localSheetId="22">'Trip (22)'!$A$1:$S$68</definedName>
    <definedName name="_xlnm.Print_Area" localSheetId="23">'Trip (23)'!$A$1:$S$68</definedName>
    <definedName name="_xlnm.Print_Area" localSheetId="24">'Trip (24)'!$A$1:$S$68</definedName>
    <definedName name="_xlnm.Print_Area" localSheetId="25">'Trip (25)'!$A$1:$S$68</definedName>
    <definedName name="_xlnm.Print_Area" localSheetId="26">'Trip (26)'!$A$1:$S$68</definedName>
    <definedName name="_xlnm.Print_Area" localSheetId="27">'Trip (27)'!$A$1:$S$68</definedName>
    <definedName name="_xlnm.Print_Area" localSheetId="28">'Trip (28)'!$A$1:$S$68</definedName>
    <definedName name="_xlnm.Print_Area" localSheetId="29">'Trip (29)'!$A$1:$S$68</definedName>
    <definedName name="_xlnm.Print_Area" localSheetId="3">'Trip (3)'!$A$1:$S$68</definedName>
    <definedName name="_xlnm.Print_Area" localSheetId="30">'Trip (30)'!$A$1:$S$68</definedName>
    <definedName name="_xlnm.Print_Area" localSheetId="4">'Trip (4)'!$A$1:$S$68</definedName>
    <definedName name="_xlnm.Print_Area" localSheetId="5">'Trip (5)'!$A$1:$S$68</definedName>
    <definedName name="_xlnm.Print_Area" localSheetId="6">'Trip (6)'!$A$1:$S$68</definedName>
    <definedName name="_xlnm.Print_Area" localSheetId="7">'Trip (7)'!$A$1:$S$68</definedName>
    <definedName name="_xlnm.Print_Area" localSheetId="8">'Trip (8)'!$A$1:$S$68</definedName>
    <definedName name="_xlnm.Print_Area" localSheetId="9">'Trip (9)'!$A$1:$S$68</definedName>
    <definedName name="Rental">'[1]Setup Page'!$K$8:$K$19</definedName>
    <definedName name="Sharing">'[1]Setup Page'!$E$8:$E$24</definedName>
    <definedName name="Trip">'[1]Setup Page'!$N$8:$N$29</definedName>
    <definedName name="Trips" localSheetId="10">#REF!</definedName>
    <definedName name="Trips" localSheetId="11">#REF!</definedName>
    <definedName name="Trips" localSheetId="14">#REF!</definedName>
    <definedName name="Trips" localSheetId="16">#REF!</definedName>
    <definedName name="Trips" localSheetId="18">#REF!</definedName>
    <definedName name="Trips" localSheetId="2">#REF!</definedName>
    <definedName name="Trips" localSheetId="20">#REF!</definedName>
    <definedName name="Trips" localSheetId="22">#REF!</definedName>
    <definedName name="Trips" localSheetId="24">#REF!</definedName>
    <definedName name="Trips" localSheetId="26">#REF!</definedName>
    <definedName name="Trips" localSheetId="28">#REF!</definedName>
    <definedName name="Trips" localSheetId="3">#REF!</definedName>
    <definedName name="Trips" localSheetId="30">#REF!</definedName>
    <definedName name="Trips" localSheetId="4">#REF!</definedName>
    <definedName name="Trips" localSheetId="6">#REF!</definedName>
    <definedName name="Trips" localSheetId="8">#REF!</definedName>
    <definedName name="Trip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0" i="35" l="1"/>
  <c r="G39" i="35" l="1"/>
  <c r="F39" i="35"/>
  <c r="E39" i="35"/>
  <c r="D39" i="35"/>
  <c r="G38" i="35"/>
  <c r="F38" i="35"/>
  <c r="E38" i="35"/>
  <c r="D38" i="35"/>
  <c r="G37" i="35"/>
  <c r="F37" i="35"/>
  <c r="E37" i="35"/>
  <c r="D37" i="35"/>
  <c r="G36" i="35"/>
  <c r="F36" i="35"/>
  <c r="E36" i="35"/>
  <c r="D36" i="35"/>
  <c r="G35" i="35"/>
  <c r="F35" i="35"/>
  <c r="E35" i="35"/>
  <c r="D35" i="35"/>
  <c r="G34" i="35"/>
  <c r="F34" i="35"/>
  <c r="E34" i="35"/>
  <c r="D34" i="35"/>
  <c r="G33" i="35"/>
  <c r="F33" i="35"/>
  <c r="E33" i="35"/>
  <c r="D33" i="35"/>
  <c r="G32" i="35"/>
  <c r="F32" i="35"/>
  <c r="E32" i="35"/>
  <c r="D32" i="35"/>
  <c r="G31" i="35"/>
  <c r="F31" i="35"/>
  <c r="E31" i="35"/>
  <c r="D31" i="35"/>
  <c r="G30" i="35"/>
  <c r="F30" i="35"/>
  <c r="E30" i="35"/>
  <c r="D30" i="35"/>
  <c r="G29" i="35"/>
  <c r="F29" i="35"/>
  <c r="E29" i="35"/>
  <c r="D29" i="35"/>
  <c r="G28" i="35"/>
  <c r="F28" i="35"/>
  <c r="E28" i="35"/>
  <c r="D28" i="35"/>
  <c r="G27" i="35"/>
  <c r="F27" i="35"/>
  <c r="E27" i="35"/>
  <c r="D27" i="35"/>
  <c r="G26" i="35"/>
  <c r="F26" i="35"/>
  <c r="E26" i="35"/>
  <c r="D26" i="35"/>
  <c r="G25" i="35"/>
  <c r="F25" i="35"/>
  <c r="E25" i="35"/>
  <c r="D25" i="35"/>
  <c r="G24" i="35"/>
  <c r="F24" i="35"/>
  <c r="E24" i="35"/>
  <c r="D24" i="35"/>
  <c r="G23" i="35"/>
  <c r="F23" i="35"/>
  <c r="E23" i="35"/>
  <c r="D23" i="35"/>
  <c r="G22" i="35"/>
  <c r="F22" i="35"/>
  <c r="E22" i="35"/>
  <c r="D22" i="35"/>
  <c r="F10" i="35"/>
  <c r="E10" i="35"/>
  <c r="D10" i="35"/>
  <c r="G21" i="35"/>
  <c r="F21" i="35"/>
  <c r="E21" i="35"/>
  <c r="D21" i="35"/>
  <c r="G20" i="35"/>
  <c r="F20" i="35"/>
  <c r="E20" i="35"/>
  <c r="D20" i="35"/>
  <c r="G19" i="35"/>
  <c r="F19" i="35"/>
  <c r="E19" i="35"/>
  <c r="D19" i="35"/>
  <c r="G18" i="35"/>
  <c r="F18" i="35"/>
  <c r="E18" i="35"/>
  <c r="D18" i="35"/>
  <c r="G17" i="35"/>
  <c r="F17" i="35"/>
  <c r="E17" i="35"/>
  <c r="D17" i="35"/>
  <c r="G16" i="35"/>
  <c r="F16" i="35"/>
  <c r="E16" i="35"/>
  <c r="D16" i="35"/>
  <c r="G15" i="35"/>
  <c r="F15" i="35"/>
  <c r="E15" i="35"/>
  <c r="D15" i="35"/>
  <c r="G14" i="35"/>
  <c r="F14" i="35"/>
  <c r="E14" i="35"/>
  <c r="D14" i="35"/>
  <c r="G13" i="35"/>
  <c r="F13" i="35"/>
  <c r="E13" i="35"/>
  <c r="D13" i="35"/>
  <c r="E12" i="35"/>
  <c r="G12" i="35"/>
  <c r="F12" i="35"/>
  <c r="D12" i="35"/>
  <c r="R125" i="111"/>
  <c r="R124" i="111"/>
  <c r="R123" i="111"/>
  <c r="R122" i="111"/>
  <c r="R121" i="111"/>
  <c r="R120" i="111"/>
  <c r="R119" i="111"/>
  <c r="R118" i="111"/>
  <c r="R117" i="111"/>
  <c r="R116" i="111"/>
  <c r="R115" i="111"/>
  <c r="R114" i="111"/>
  <c r="R113" i="111"/>
  <c r="R112" i="111"/>
  <c r="R111" i="111"/>
  <c r="R110" i="111"/>
  <c r="R109" i="111"/>
  <c r="R108" i="111"/>
  <c r="R107" i="111"/>
  <c r="R106" i="111"/>
  <c r="R105" i="111"/>
  <c r="R104" i="111"/>
  <c r="R103" i="111"/>
  <c r="R102" i="111"/>
  <c r="R101" i="111"/>
  <c r="R100" i="111"/>
  <c r="R99" i="111"/>
  <c r="R98" i="111"/>
  <c r="R97" i="111"/>
  <c r="R96" i="111"/>
  <c r="R95" i="111"/>
  <c r="R94" i="111"/>
  <c r="R93" i="111"/>
  <c r="R92" i="111"/>
  <c r="R91" i="111"/>
  <c r="R90" i="111"/>
  <c r="R89" i="111"/>
  <c r="R88" i="111"/>
  <c r="R87" i="111"/>
  <c r="R86" i="111"/>
  <c r="R85" i="111"/>
  <c r="R84" i="111"/>
  <c r="R83" i="111"/>
  <c r="R82" i="111"/>
  <c r="R81" i="111"/>
  <c r="R80" i="111"/>
  <c r="R79" i="111"/>
  <c r="R78" i="111"/>
  <c r="R77" i="111"/>
  <c r="R76" i="111"/>
  <c r="R75" i="111"/>
  <c r="R74" i="111"/>
  <c r="R73" i="111"/>
  <c r="R72" i="111"/>
  <c r="R71" i="111"/>
  <c r="R70" i="111"/>
  <c r="R69" i="111"/>
  <c r="R68" i="111"/>
  <c r="R67" i="111"/>
  <c r="R66" i="111"/>
  <c r="R65" i="111"/>
  <c r="R64" i="111"/>
  <c r="R63" i="111"/>
  <c r="R62" i="111"/>
  <c r="H62" i="111"/>
  <c r="R61" i="111"/>
  <c r="H61" i="111"/>
  <c r="R60" i="111"/>
  <c r="H60" i="111"/>
  <c r="R59" i="111"/>
  <c r="H59" i="111"/>
  <c r="R58" i="111"/>
  <c r="H58" i="111"/>
  <c r="R57" i="111"/>
  <c r="H57" i="111"/>
  <c r="R56" i="111"/>
  <c r="H56" i="111"/>
  <c r="R55" i="111"/>
  <c r="H55" i="111"/>
  <c r="R54" i="111"/>
  <c r="H54" i="111"/>
  <c r="R53" i="111"/>
  <c r="H53" i="111"/>
  <c r="R52" i="111"/>
  <c r="H52" i="111"/>
  <c r="R51" i="111"/>
  <c r="H51" i="111"/>
  <c r="R50" i="111"/>
  <c r="H50" i="111"/>
  <c r="R49" i="111"/>
  <c r="H49" i="111"/>
  <c r="R48" i="111"/>
  <c r="H48" i="111"/>
  <c r="R47" i="111"/>
  <c r="H47" i="111"/>
  <c r="R46" i="111"/>
  <c r="H46" i="111"/>
  <c r="R45" i="111"/>
  <c r="H45" i="111"/>
  <c r="R44" i="111"/>
  <c r="H44" i="111"/>
  <c r="R43" i="111"/>
  <c r="H43" i="111"/>
  <c r="R42" i="111"/>
  <c r="H42" i="111"/>
  <c r="R41" i="111"/>
  <c r="R40" i="111"/>
  <c r="R39" i="111"/>
  <c r="R38" i="111"/>
  <c r="H38" i="111"/>
  <c r="R37" i="111"/>
  <c r="H37" i="111"/>
  <c r="R36" i="111"/>
  <c r="H36" i="111"/>
  <c r="R35" i="111"/>
  <c r="H35" i="111"/>
  <c r="R34" i="111"/>
  <c r="H34" i="111"/>
  <c r="R33" i="111"/>
  <c r="H33" i="111"/>
  <c r="R32" i="111"/>
  <c r="H32" i="111"/>
  <c r="R31" i="111"/>
  <c r="H31" i="111"/>
  <c r="R30" i="111"/>
  <c r="H30" i="111"/>
  <c r="R29" i="111"/>
  <c r="H29" i="111"/>
  <c r="R28" i="111"/>
  <c r="H28" i="111"/>
  <c r="R27" i="111"/>
  <c r="H27" i="111"/>
  <c r="R26" i="111"/>
  <c r="H26" i="111"/>
  <c r="S25" i="111"/>
  <c r="D19" i="111" s="1"/>
  <c r="H12" i="35" s="1"/>
  <c r="A5" i="111"/>
  <c r="G11" i="35"/>
  <c r="F11" i="35"/>
  <c r="E11" i="35"/>
  <c r="D11" i="35"/>
  <c r="R125" i="110"/>
  <c r="R124" i="110"/>
  <c r="R123" i="110"/>
  <c r="R122" i="110"/>
  <c r="R121" i="110"/>
  <c r="R120" i="110"/>
  <c r="R119" i="110"/>
  <c r="R118" i="110"/>
  <c r="R117" i="110"/>
  <c r="R116" i="110"/>
  <c r="R115" i="110"/>
  <c r="R114" i="110"/>
  <c r="R113" i="110"/>
  <c r="R112" i="110"/>
  <c r="R111" i="110"/>
  <c r="R110" i="110"/>
  <c r="R109" i="110"/>
  <c r="R108" i="110"/>
  <c r="R107" i="110"/>
  <c r="R106" i="110"/>
  <c r="R105" i="110"/>
  <c r="R104" i="110"/>
  <c r="R103" i="110"/>
  <c r="R102" i="110"/>
  <c r="R101" i="110"/>
  <c r="R100" i="110"/>
  <c r="R99" i="110"/>
  <c r="R98" i="110"/>
  <c r="R97" i="110"/>
  <c r="R96" i="110"/>
  <c r="R95" i="110"/>
  <c r="R94" i="110"/>
  <c r="R93" i="110"/>
  <c r="R92" i="110"/>
  <c r="R91" i="110"/>
  <c r="R90" i="110"/>
  <c r="R89" i="110"/>
  <c r="R88" i="110"/>
  <c r="R87" i="110"/>
  <c r="R86" i="110"/>
  <c r="R85" i="110"/>
  <c r="R84" i="110"/>
  <c r="R83" i="110"/>
  <c r="R82" i="110"/>
  <c r="R81" i="110"/>
  <c r="R80" i="110"/>
  <c r="R79" i="110"/>
  <c r="R78" i="110"/>
  <c r="R77" i="110"/>
  <c r="R76" i="110"/>
  <c r="R75" i="110"/>
  <c r="R74" i="110"/>
  <c r="R73" i="110"/>
  <c r="R72" i="110"/>
  <c r="R71" i="110"/>
  <c r="R70" i="110"/>
  <c r="R69" i="110"/>
  <c r="R68" i="110"/>
  <c r="R67" i="110"/>
  <c r="R66" i="110"/>
  <c r="R65" i="110"/>
  <c r="R64" i="110"/>
  <c r="R63" i="110"/>
  <c r="R62" i="110"/>
  <c r="H62" i="110"/>
  <c r="R61" i="110"/>
  <c r="H61" i="110"/>
  <c r="R60" i="110"/>
  <c r="H60" i="110"/>
  <c r="R59" i="110"/>
  <c r="H59" i="110"/>
  <c r="R58" i="110"/>
  <c r="H58" i="110"/>
  <c r="R57" i="110"/>
  <c r="H57" i="110"/>
  <c r="R56" i="110"/>
  <c r="H56" i="110"/>
  <c r="R55" i="110"/>
  <c r="H55" i="110"/>
  <c r="R54" i="110"/>
  <c r="H54" i="110"/>
  <c r="R53" i="110"/>
  <c r="H53" i="110"/>
  <c r="R52" i="110"/>
  <c r="H52" i="110"/>
  <c r="R51" i="110"/>
  <c r="H51" i="110"/>
  <c r="R50" i="110"/>
  <c r="H50" i="110"/>
  <c r="R49" i="110"/>
  <c r="H49" i="110"/>
  <c r="R48" i="110"/>
  <c r="H48" i="110"/>
  <c r="R47" i="110"/>
  <c r="H47" i="110"/>
  <c r="R46" i="110"/>
  <c r="H46" i="110"/>
  <c r="R45" i="110"/>
  <c r="H45" i="110"/>
  <c r="R44" i="110"/>
  <c r="H44" i="110"/>
  <c r="R43" i="110"/>
  <c r="H43" i="110"/>
  <c r="R42" i="110"/>
  <c r="H42" i="110"/>
  <c r="R41" i="110"/>
  <c r="R40" i="110"/>
  <c r="R39" i="110"/>
  <c r="R38" i="110"/>
  <c r="H38" i="110"/>
  <c r="R37" i="110"/>
  <c r="H37" i="110"/>
  <c r="R36" i="110"/>
  <c r="H36" i="110"/>
  <c r="R35" i="110"/>
  <c r="H35" i="110"/>
  <c r="R34" i="110"/>
  <c r="H34" i="110"/>
  <c r="R33" i="110"/>
  <c r="H33" i="110"/>
  <c r="R32" i="110"/>
  <c r="H32" i="110"/>
  <c r="R31" i="110"/>
  <c r="H31" i="110"/>
  <c r="R30" i="110"/>
  <c r="H30" i="110"/>
  <c r="R29" i="110"/>
  <c r="H29" i="110"/>
  <c r="R28" i="110"/>
  <c r="H28" i="110"/>
  <c r="R27" i="110"/>
  <c r="H27" i="110"/>
  <c r="R26" i="110"/>
  <c r="H26" i="110"/>
  <c r="S25" i="110"/>
  <c r="D19" i="110" s="1"/>
  <c r="H39" i="35" s="1"/>
  <c r="A5" i="110"/>
  <c r="R125" i="109"/>
  <c r="R124" i="109"/>
  <c r="R123" i="109"/>
  <c r="R122" i="109"/>
  <c r="R121" i="109"/>
  <c r="R120" i="109"/>
  <c r="R119" i="109"/>
  <c r="R118" i="109"/>
  <c r="R117" i="109"/>
  <c r="R116" i="109"/>
  <c r="R115" i="109"/>
  <c r="R114" i="109"/>
  <c r="R113" i="109"/>
  <c r="R112" i="109"/>
  <c r="R111" i="109"/>
  <c r="R110" i="109"/>
  <c r="R109" i="109"/>
  <c r="R108" i="109"/>
  <c r="R107" i="109"/>
  <c r="R106" i="109"/>
  <c r="R105" i="109"/>
  <c r="R104" i="109"/>
  <c r="R103" i="109"/>
  <c r="R102" i="109"/>
  <c r="R101" i="109"/>
  <c r="R100" i="109"/>
  <c r="R99" i="109"/>
  <c r="R98" i="109"/>
  <c r="R97" i="109"/>
  <c r="R96" i="109"/>
  <c r="R95" i="109"/>
  <c r="R94" i="109"/>
  <c r="R93" i="109"/>
  <c r="R92" i="109"/>
  <c r="R91" i="109"/>
  <c r="R90" i="109"/>
  <c r="R89" i="109"/>
  <c r="R88" i="109"/>
  <c r="R87" i="109"/>
  <c r="R86" i="109"/>
  <c r="R85" i="109"/>
  <c r="R84" i="109"/>
  <c r="R83" i="109"/>
  <c r="R82" i="109"/>
  <c r="R81" i="109"/>
  <c r="R80" i="109"/>
  <c r="R79" i="109"/>
  <c r="R78" i="109"/>
  <c r="R77" i="109"/>
  <c r="R76" i="109"/>
  <c r="R75" i="109"/>
  <c r="R74" i="109"/>
  <c r="R73" i="109"/>
  <c r="R72" i="109"/>
  <c r="R71" i="109"/>
  <c r="R70" i="109"/>
  <c r="R69" i="109"/>
  <c r="R68" i="109"/>
  <c r="R67" i="109"/>
  <c r="R66" i="109"/>
  <c r="R65" i="109"/>
  <c r="R64" i="109"/>
  <c r="R63" i="109"/>
  <c r="R62" i="109"/>
  <c r="H62" i="109"/>
  <c r="R61" i="109"/>
  <c r="H61" i="109"/>
  <c r="R60" i="109"/>
  <c r="H60" i="109"/>
  <c r="R59" i="109"/>
  <c r="H59" i="109"/>
  <c r="R58" i="109"/>
  <c r="H58" i="109"/>
  <c r="R57" i="109"/>
  <c r="H57" i="109"/>
  <c r="R56" i="109"/>
  <c r="H56" i="109"/>
  <c r="R55" i="109"/>
  <c r="H55" i="109"/>
  <c r="R54" i="109"/>
  <c r="H54" i="109"/>
  <c r="R53" i="109"/>
  <c r="H53" i="109"/>
  <c r="R52" i="109"/>
  <c r="H52" i="109"/>
  <c r="R51" i="109"/>
  <c r="H51" i="109"/>
  <c r="R50" i="109"/>
  <c r="H50" i="109"/>
  <c r="R49" i="109"/>
  <c r="H49" i="109"/>
  <c r="R48" i="109"/>
  <c r="H48" i="109"/>
  <c r="R47" i="109"/>
  <c r="H47" i="109"/>
  <c r="R46" i="109"/>
  <c r="H46" i="109"/>
  <c r="R45" i="109"/>
  <c r="H45" i="109"/>
  <c r="R44" i="109"/>
  <c r="H44" i="109"/>
  <c r="R43" i="109"/>
  <c r="H43" i="109"/>
  <c r="R42" i="109"/>
  <c r="H42" i="109"/>
  <c r="R41" i="109"/>
  <c r="R40" i="109"/>
  <c r="R39" i="109"/>
  <c r="R38" i="109"/>
  <c r="H38" i="109"/>
  <c r="R37" i="109"/>
  <c r="H37" i="109"/>
  <c r="R36" i="109"/>
  <c r="H36" i="109"/>
  <c r="R35" i="109"/>
  <c r="H35" i="109"/>
  <c r="R34" i="109"/>
  <c r="H34" i="109"/>
  <c r="R33" i="109"/>
  <c r="H33" i="109"/>
  <c r="R32" i="109"/>
  <c r="H32" i="109"/>
  <c r="R31" i="109"/>
  <c r="H31" i="109"/>
  <c r="R30" i="109"/>
  <c r="H30" i="109"/>
  <c r="R29" i="109"/>
  <c r="H29" i="109"/>
  <c r="R28" i="109"/>
  <c r="H28" i="109"/>
  <c r="R27" i="109"/>
  <c r="H27" i="109"/>
  <c r="R26" i="109"/>
  <c r="H26" i="109"/>
  <c r="S25" i="109"/>
  <c r="D19" i="109" s="1"/>
  <c r="H38" i="35" s="1"/>
  <c r="A5" i="109"/>
  <c r="R125" i="108"/>
  <c r="R124" i="108"/>
  <c r="R123" i="108"/>
  <c r="R122" i="108"/>
  <c r="R121" i="108"/>
  <c r="R120" i="108"/>
  <c r="R119" i="108"/>
  <c r="R118" i="108"/>
  <c r="R117" i="108"/>
  <c r="R116" i="108"/>
  <c r="R115" i="108"/>
  <c r="R114" i="108"/>
  <c r="R113" i="108"/>
  <c r="R112" i="108"/>
  <c r="R111" i="108"/>
  <c r="R110" i="108"/>
  <c r="R109" i="108"/>
  <c r="R108" i="108"/>
  <c r="R107" i="108"/>
  <c r="R106" i="108"/>
  <c r="R105" i="108"/>
  <c r="R104" i="108"/>
  <c r="R103" i="108"/>
  <c r="R102" i="108"/>
  <c r="R101" i="108"/>
  <c r="R100" i="108"/>
  <c r="R99" i="108"/>
  <c r="R98" i="108"/>
  <c r="R97" i="108"/>
  <c r="R96" i="108"/>
  <c r="R95" i="108"/>
  <c r="R94" i="108"/>
  <c r="R93" i="108"/>
  <c r="R92" i="108"/>
  <c r="R91" i="108"/>
  <c r="R90" i="108"/>
  <c r="R89" i="108"/>
  <c r="R88" i="108"/>
  <c r="R87" i="108"/>
  <c r="R86" i="108"/>
  <c r="R85" i="108"/>
  <c r="R84" i="108"/>
  <c r="R83" i="108"/>
  <c r="R82" i="108"/>
  <c r="R81" i="108"/>
  <c r="R80" i="108"/>
  <c r="R79" i="108"/>
  <c r="R78" i="108"/>
  <c r="R77" i="108"/>
  <c r="R76" i="108"/>
  <c r="R75" i="108"/>
  <c r="R74" i="108"/>
  <c r="R73" i="108"/>
  <c r="R72" i="108"/>
  <c r="R71" i="108"/>
  <c r="R70" i="108"/>
  <c r="R69" i="108"/>
  <c r="R68" i="108"/>
  <c r="R67" i="108"/>
  <c r="R66" i="108"/>
  <c r="R65" i="108"/>
  <c r="R64" i="108"/>
  <c r="R63" i="108"/>
  <c r="R62" i="108"/>
  <c r="H62" i="108"/>
  <c r="R61" i="108"/>
  <c r="H61" i="108"/>
  <c r="R60" i="108"/>
  <c r="H60" i="108"/>
  <c r="R59" i="108"/>
  <c r="H59" i="108"/>
  <c r="R58" i="108"/>
  <c r="H58" i="108"/>
  <c r="R57" i="108"/>
  <c r="H57" i="108"/>
  <c r="R56" i="108"/>
  <c r="H56" i="108"/>
  <c r="R55" i="108"/>
  <c r="H55" i="108"/>
  <c r="R54" i="108"/>
  <c r="H54" i="108"/>
  <c r="R53" i="108"/>
  <c r="H53" i="108"/>
  <c r="R52" i="108"/>
  <c r="H52" i="108"/>
  <c r="R51" i="108"/>
  <c r="H51" i="108"/>
  <c r="R50" i="108"/>
  <c r="H50" i="108"/>
  <c r="R49" i="108"/>
  <c r="H49" i="108"/>
  <c r="R48" i="108"/>
  <c r="H48" i="108"/>
  <c r="R47" i="108"/>
  <c r="H47" i="108"/>
  <c r="R46" i="108"/>
  <c r="H46" i="108"/>
  <c r="R45" i="108"/>
  <c r="H45" i="108"/>
  <c r="R44" i="108"/>
  <c r="H44" i="108"/>
  <c r="R43" i="108"/>
  <c r="H43" i="108"/>
  <c r="R42" i="108"/>
  <c r="H42" i="108"/>
  <c r="R41" i="108"/>
  <c r="R40" i="108"/>
  <c r="R39" i="108"/>
  <c r="R38" i="108"/>
  <c r="H38" i="108"/>
  <c r="R37" i="108"/>
  <c r="H37" i="108"/>
  <c r="R36" i="108"/>
  <c r="H36" i="108"/>
  <c r="R35" i="108"/>
  <c r="H35" i="108"/>
  <c r="R34" i="108"/>
  <c r="H34" i="108"/>
  <c r="R33" i="108"/>
  <c r="H33" i="108"/>
  <c r="R32" i="108"/>
  <c r="H32" i="108"/>
  <c r="R31" i="108"/>
  <c r="H31" i="108"/>
  <c r="R30" i="108"/>
  <c r="H30" i="108"/>
  <c r="R29" i="108"/>
  <c r="H29" i="108"/>
  <c r="R28" i="108"/>
  <c r="H28" i="108"/>
  <c r="R27" i="108"/>
  <c r="H27" i="108"/>
  <c r="R26" i="108"/>
  <c r="H26" i="108"/>
  <c r="S25" i="108"/>
  <c r="D19" i="108" s="1"/>
  <c r="H37" i="35" s="1"/>
  <c r="A5" i="108"/>
  <c r="R125" i="107"/>
  <c r="R124" i="107"/>
  <c r="R123" i="107"/>
  <c r="R122" i="107"/>
  <c r="R121" i="107"/>
  <c r="R120" i="107"/>
  <c r="R119" i="107"/>
  <c r="R118" i="107"/>
  <c r="R117" i="107"/>
  <c r="R116" i="107"/>
  <c r="R115" i="107"/>
  <c r="R114" i="107"/>
  <c r="R113" i="107"/>
  <c r="R112" i="107"/>
  <c r="R111" i="107"/>
  <c r="R110" i="107"/>
  <c r="R109" i="107"/>
  <c r="R108" i="107"/>
  <c r="R107" i="107"/>
  <c r="R106" i="107"/>
  <c r="R105" i="107"/>
  <c r="R104" i="107"/>
  <c r="R103" i="107"/>
  <c r="R102" i="107"/>
  <c r="R101" i="107"/>
  <c r="R100" i="107"/>
  <c r="R99" i="107"/>
  <c r="R98" i="107"/>
  <c r="R97" i="107"/>
  <c r="R96" i="107"/>
  <c r="R95" i="107"/>
  <c r="R94" i="107"/>
  <c r="R93" i="107"/>
  <c r="R92" i="107"/>
  <c r="R91" i="107"/>
  <c r="R90" i="107"/>
  <c r="R89" i="107"/>
  <c r="R88" i="107"/>
  <c r="R87" i="107"/>
  <c r="R86" i="107"/>
  <c r="R85" i="107"/>
  <c r="R84" i="107"/>
  <c r="R83" i="107"/>
  <c r="R82" i="107"/>
  <c r="R81" i="107"/>
  <c r="R80" i="107"/>
  <c r="R79" i="107"/>
  <c r="R78" i="107"/>
  <c r="R77" i="107"/>
  <c r="R76" i="107"/>
  <c r="R75" i="107"/>
  <c r="R74" i="107"/>
  <c r="R73" i="107"/>
  <c r="R72" i="107"/>
  <c r="R71" i="107"/>
  <c r="R70" i="107"/>
  <c r="R69" i="107"/>
  <c r="R68" i="107"/>
  <c r="R67" i="107"/>
  <c r="R66" i="107"/>
  <c r="R65" i="107"/>
  <c r="R64" i="107"/>
  <c r="R63" i="107"/>
  <c r="R62" i="107"/>
  <c r="H62" i="107"/>
  <c r="R61" i="107"/>
  <c r="H61" i="107"/>
  <c r="R60" i="107"/>
  <c r="H60" i="107"/>
  <c r="R59" i="107"/>
  <c r="H59" i="107"/>
  <c r="R58" i="107"/>
  <c r="H58" i="107"/>
  <c r="R57" i="107"/>
  <c r="H57" i="107"/>
  <c r="R56" i="107"/>
  <c r="H56" i="107"/>
  <c r="R55" i="107"/>
  <c r="H55" i="107"/>
  <c r="R54" i="107"/>
  <c r="H54" i="107"/>
  <c r="R53" i="107"/>
  <c r="H53" i="107"/>
  <c r="R52" i="107"/>
  <c r="H52" i="107"/>
  <c r="R51" i="107"/>
  <c r="H51" i="107"/>
  <c r="R50" i="107"/>
  <c r="H50" i="107"/>
  <c r="R49" i="107"/>
  <c r="H49" i="107"/>
  <c r="R48" i="107"/>
  <c r="H48" i="107"/>
  <c r="R47" i="107"/>
  <c r="H47" i="107"/>
  <c r="R46" i="107"/>
  <c r="H46" i="107"/>
  <c r="R45" i="107"/>
  <c r="H45" i="107"/>
  <c r="R44" i="107"/>
  <c r="H44" i="107"/>
  <c r="R43" i="107"/>
  <c r="H43" i="107"/>
  <c r="R42" i="107"/>
  <c r="H42" i="107"/>
  <c r="R41" i="107"/>
  <c r="R40" i="107"/>
  <c r="R39" i="107"/>
  <c r="R38" i="107"/>
  <c r="H38" i="107"/>
  <c r="R37" i="107"/>
  <c r="H37" i="107"/>
  <c r="R36" i="107"/>
  <c r="H36" i="107"/>
  <c r="R35" i="107"/>
  <c r="H35" i="107"/>
  <c r="R34" i="107"/>
  <c r="H34" i="107"/>
  <c r="R33" i="107"/>
  <c r="H33" i="107"/>
  <c r="R32" i="107"/>
  <c r="H32" i="107"/>
  <c r="R31" i="107"/>
  <c r="H31" i="107"/>
  <c r="R30" i="107"/>
  <c r="H30" i="107"/>
  <c r="R29" i="107"/>
  <c r="H29" i="107"/>
  <c r="R28" i="107"/>
  <c r="H28" i="107"/>
  <c r="R27" i="107"/>
  <c r="H27" i="107"/>
  <c r="R26" i="107"/>
  <c r="H26" i="107"/>
  <c r="S25" i="107"/>
  <c r="D19" i="107" s="1"/>
  <c r="H36" i="35" s="1"/>
  <c r="A5" i="107"/>
  <c r="R125" i="106"/>
  <c r="R124" i="106"/>
  <c r="R123" i="106"/>
  <c r="R122" i="106"/>
  <c r="R121" i="106"/>
  <c r="R120" i="106"/>
  <c r="R119" i="106"/>
  <c r="R118" i="106"/>
  <c r="R117" i="106"/>
  <c r="R116" i="106"/>
  <c r="R115" i="106"/>
  <c r="R114" i="106"/>
  <c r="R113" i="106"/>
  <c r="R112" i="106"/>
  <c r="R111" i="106"/>
  <c r="R110" i="106"/>
  <c r="R109" i="106"/>
  <c r="R108" i="106"/>
  <c r="R107" i="106"/>
  <c r="R106" i="106"/>
  <c r="R105" i="106"/>
  <c r="R104" i="106"/>
  <c r="R103" i="106"/>
  <c r="R102" i="106"/>
  <c r="R101" i="106"/>
  <c r="R100" i="106"/>
  <c r="R99" i="106"/>
  <c r="R98" i="106"/>
  <c r="R97" i="106"/>
  <c r="R96" i="106"/>
  <c r="R95" i="106"/>
  <c r="R94" i="106"/>
  <c r="R93" i="106"/>
  <c r="R92" i="106"/>
  <c r="R91" i="106"/>
  <c r="R90" i="106"/>
  <c r="R89" i="106"/>
  <c r="R88" i="106"/>
  <c r="R87" i="106"/>
  <c r="R86" i="106"/>
  <c r="R85" i="106"/>
  <c r="R84" i="106"/>
  <c r="R83" i="106"/>
  <c r="R82" i="106"/>
  <c r="R81" i="106"/>
  <c r="R80" i="106"/>
  <c r="R79" i="106"/>
  <c r="R78" i="106"/>
  <c r="R77" i="106"/>
  <c r="R76" i="106"/>
  <c r="R75" i="106"/>
  <c r="R74" i="106"/>
  <c r="R73" i="106"/>
  <c r="R72" i="106"/>
  <c r="R71" i="106"/>
  <c r="R70" i="106"/>
  <c r="R69" i="106"/>
  <c r="R68" i="106"/>
  <c r="R67" i="106"/>
  <c r="R66" i="106"/>
  <c r="R65" i="106"/>
  <c r="R64" i="106"/>
  <c r="R63" i="106"/>
  <c r="R62" i="106"/>
  <c r="H62" i="106"/>
  <c r="R61" i="106"/>
  <c r="H61" i="106"/>
  <c r="R60" i="106"/>
  <c r="H60" i="106"/>
  <c r="R59" i="106"/>
  <c r="H59" i="106"/>
  <c r="R58" i="106"/>
  <c r="H58" i="106"/>
  <c r="R57" i="106"/>
  <c r="H57" i="106"/>
  <c r="R56" i="106"/>
  <c r="H56" i="106"/>
  <c r="R55" i="106"/>
  <c r="H55" i="106"/>
  <c r="R54" i="106"/>
  <c r="H54" i="106"/>
  <c r="R53" i="106"/>
  <c r="H53" i="106"/>
  <c r="R52" i="106"/>
  <c r="H52" i="106"/>
  <c r="R51" i="106"/>
  <c r="H51" i="106"/>
  <c r="R50" i="106"/>
  <c r="H50" i="106"/>
  <c r="R49" i="106"/>
  <c r="H49" i="106"/>
  <c r="R48" i="106"/>
  <c r="H48" i="106"/>
  <c r="R47" i="106"/>
  <c r="H47" i="106"/>
  <c r="R46" i="106"/>
  <c r="H46" i="106"/>
  <c r="R45" i="106"/>
  <c r="H45" i="106"/>
  <c r="R44" i="106"/>
  <c r="H44" i="106"/>
  <c r="R43" i="106"/>
  <c r="H43" i="106"/>
  <c r="R42" i="106"/>
  <c r="H42" i="106"/>
  <c r="R41" i="106"/>
  <c r="R40" i="106"/>
  <c r="R39" i="106"/>
  <c r="R38" i="106"/>
  <c r="H38" i="106"/>
  <c r="R37" i="106"/>
  <c r="H37" i="106"/>
  <c r="R36" i="106"/>
  <c r="H36" i="106"/>
  <c r="R35" i="106"/>
  <c r="H35" i="106"/>
  <c r="R34" i="106"/>
  <c r="H34" i="106"/>
  <c r="R33" i="106"/>
  <c r="H33" i="106"/>
  <c r="R32" i="106"/>
  <c r="H32" i="106"/>
  <c r="R31" i="106"/>
  <c r="H31" i="106"/>
  <c r="R30" i="106"/>
  <c r="H30" i="106"/>
  <c r="R29" i="106"/>
  <c r="H29" i="106"/>
  <c r="R28" i="106"/>
  <c r="H28" i="106"/>
  <c r="R27" i="106"/>
  <c r="H27" i="106"/>
  <c r="R26" i="106"/>
  <c r="H26" i="106"/>
  <c r="S25" i="106"/>
  <c r="D19" i="106"/>
  <c r="H35" i="35" s="1"/>
  <c r="A5" i="106"/>
  <c r="R125" i="105"/>
  <c r="R124" i="105"/>
  <c r="R123" i="105"/>
  <c r="R122" i="105"/>
  <c r="R121" i="105"/>
  <c r="R120" i="105"/>
  <c r="R119" i="105"/>
  <c r="R118" i="105"/>
  <c r="R117" i="105"/>
  <c r="R116" i="105"/>
  <c r="R115" i="105"/>
  <c r="R114" i="105"/>
  <c r="R113" i="105"/>
  <c r="R112" i="105"/>
  <c r="R111" i="105"/>
  <c r="R110" i="105"/>
  <c r="R109" i="105"/>
  <c r="R108" i="105"/>
  <c r="R107" i="105"/>
  <c r="R106" i="105"/>
  <c r="R105" i="105"/>
  <c r="R104" i="105"/>
  <c r="R103" i="105"/>
  <c r="R102" i="105"/>
  <c r="R101" i="105"/>
  <c r="R100" i="105"/>
  <c r="R99" i="105"/>
  <c r="R98" i="105"/>
  <c r="R97" i="105"/>
  <c r="R96" i="105"/>
  <c r="R95" i="105"/>
  <c r="R94" i="105"/>
  <c r="R93" i="105"/>
  <c r="R92" i="105"/>
  <c r="R91" i="105"/>
  <c r="R90" i="105"/>
  <c r="R89" i="105"/>
  <c r="R88" i="105"/>
  <c r="R87" i="105"/>
  <c r="R86" i="105"/>
  <c r="R85" i="105"/>
  <c r="R84" i="105"/>
  <c r="R83" i="105"/>
  <c r="R82" i="105"/>
  <c r="R81" i="105"/>
  <c r="R80" i="105"/>
  <c r="R79" i="105"/>
  <c r="R78" i="105"/>
  <c r="R77" i="105"/>
  <c r="R76" i="105"/>
  <c r="R75" i="105"/>
  <c r="R74" i="105"/>
  <c r="R73" i="105"/>
  <c r="R72" i="105"/>
  <c r="R71" i="105"/>
  <c r="R70" i="105"/>
  <c r="R69" i="105"/>
  <c r="R68" i="105"/>
  <c r="R67" i="105"/>
  <c r="R66" i="105"/>
  <c r="R65" i="105"/>
  <c r="R64" i="105"/>
  <c r="R63" i="105"/>
  <c r="R62" i="105"/>
  <c r="H62" i="105"/>
  <c r="R61" i="105"/>
  <c r="H61" i="105"/>
  <c r="R60" i="105"/>
  <c r="H60" i="105"/>
  <c r="R59" i="105"/>
  <c r="H59" i="105"/>
  <c r="R58" i="105"/>
  <c r="H58" i="105"/>
  <c r="R57" i="105"/>
  <c r="H57" i="105"/>
  <c r="R56" i="105"/>
  <c r="H56" i="105"/>
  <c r="R55" i="105"/>
  <c r="H55" i="105"/>
  <c r="R54" i="105"/>
  <c r="H54" i="105"/>
  <c r="R53" i="105"/>
  <c r="H53" i="105"/>
  <c r="R52" i="105"/>
  <c r="H52" i="105"/>
  <c r="R51" i="105"/>
  <c r="H51" i="105"/>
  <c r="R50" i="105"/>
  <c r="H50" i="105"/>
  <c r="R49" i="105"/>
  <c r="H49" i="105"/>
  <c r="R48" i="105"/>
  <c r="H48" i="105"/>
  <c r="R47" i="105"/>
  <c r="H47" i="105"/>
  <c r="R46" i="105"/>
  <c r="H46" i="105"/>
  <c r="R45" i="105"/>
  <c r="H45" i="105"/>
  <c r="R44" i="105"/>
  <c r="H44" i="105"/>
  <c r="R43" i="105"/>
  <c r="H43" i="105"/>
  <c r="R42" i="105"/>
  <c r="H42" i="105"/>
  <c r="R41" i="105"/>
  <c r="R40" i="105"/>
  <c r="R39" i="105"/>
  <c r="R38" i="105"/>
  <c r="H38" i="105"/>
  <c r="R37" i="105"/>
  <c r="H37" i="105"/>
  <c r="R36" i="105"/>
  <c r="H36" i="105"/>
  <c r="R35" i="105"/>
  <c r="H35" i="105"/>
  <c r="R34" i="105"/>
  <c r="H34" i="105"/>
  <c r="R33" i="105"/>
  <c r="H33" i="105"/>
  <c r="R32" i="105"/>
  <c r="H32" i="105"/>
  <c r="R31" i="105"/>
  <c r="H31" i="105"/>
  <c r="R30" i="105"/>
  <c r="H30" i="105"/>
  <c r="R29" i="105"/>
  <c r="H29" i="105"/>
  <c r="R28" i="105"/>
  <c r="H28" i="105"/>
  <c r="R27" i="105"/>
  <c r="H27" i="105"/>
  <c r="R26" i="105"/>
  <c r="H26" i="105"/>
  <c r="S25" i="105"/>
  <c r="D19" i="105" s="1"/>
  <c r="H34" i="35" s="1"/>
  <c r="A5" i="105"/>
  <c r="R125" i="104"/>
  <c r="R124" i="104"/>
  <c r="R123" i="104"/>
  <c r="R122" i="104"/>
  <c r="R121" i="104"/>
  <c r="R120" i="104"/>
  <c r="R119" i="104"/>
  <c r="R118" i="104"/>
  <c r="R117" i="104"/>
  <c r="R116" i="104"/>
  <c r="R115" i="104"/>
  <c r="R114" i="104"/>
  <c r="R113" i="104"/>
  <c r="R112" i="104"/>
  <c r="R111" i="104"/>
  <c r="R110" i="104"/>
  <c r="R109" i="104"/>
  <c r="R108" i="104"/>
  <c r="R107" i="104"/>
  <c r="R106" i="104"/>
  <c r="R105" i="104"/>
  <c r="R104" i="104"/>
  <c r="R103" i="104"/>
  <c r="R102" i="104"/>
  <c r="R101" i="104"/>
  <c r="R100" i="104"/>
  <c r="R99" i="104"/>
  <c r="R98" i="104"/>
  <c r="R97" i="104"/>
  <c r="R96" i="104"/>
  <c r="R95" i="104"/>
  <c r="R94" i="104"/>
  <c r="R93" i="104"/>
  <c r="R92" i="104"/>
  <c r="R91" i="104"/>
  <c r="R90" i="104"/>
  <c r="R89" i="104"/>
  <c r="R88" i="104"/>
  <c r="R87" i="104"/>
  <c r="R86" i="104"/>
  <c r="R85" i="104"/>
  <c r="R84" i="104"/>
  <c r="R83" i="104"/>
  <c r="R82" i="104"/>
  <c r="R81" i="104"/>
  <c r="R80" i="104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H62" i="104"/>
  <c r="R61" i="104"/>
  <c r="H61" i="104"/>
  <c r="R60" i="104"/>
  <c r="H60" i="104"/>
  <c r="R59" i="104"/>
  <c r="H59" i="104"/>
  <c r="R58" i="104"/>
  <c r="H58" i="104"/>
  <c r="R57" i="104"/>
  <c r="H57" i="104"/>
  <c r="R56" i="104"/>
  <c r="H56" i="104"/>
  <c r="R55" i="104"/>
  <c r="H55" i="104"/>
  <c r="R54" i="104"/>
  <c r="H54" i="104"/>
  <c r="R53" i="104"/>
  <c r="H53" i="104"/>
  <c r="R52" i="104"/>
  <c r="H52" i="104"/>
  <c r="R51" i="104"/>
  <c r="H51" i="104"/>
  <c r="R50" i="104"/>
  <c r="H50" i="104"/>
  <c r="R49" i="104"/>
  <c r="H49" i="104"/>
  <c r="R48" i="104"/>
  <c r="H48" i="104"/>
  <c r="R47" i="104"/>
  <c r="H47" i="104"/>
  <c r="R46" i="104"/>
  <c r="H46" i="104"/>
  <c r="R45" i="104"/>
  <c r="H45" i="104"/>
  <c r="R44" i="104"/>
  <c r="H44" i="104"/>
  <c r="R43" i="104"/>
  <c r="H43" i="104"/>
  <c r="R42" i="104"/>
  <c r="H42" i="104"/>
  <c r="R41" i="104"/>
  <c r="R40" i="104"/>
  <c r="R39" i="104"/>
  <c r="R38" i="104"/>
  <c r="H38" i="104"/>
  <c r="R37" i="104"/>
  <c r="H37" i="104"/>
  <c r="R36" i="104"/>
  <c r="H36" i="104"/>
  <c r="R35" i="104"/>
  <c r="H35" i="104"/>
  <c r="R34" i="104"/>
  <c r="H34" i="104"/>
  <c r="R33" i="104"/>
  <c r="H33" i="104"/>
  <c r="R32" i="104"/>
  <c r="H32" i="104"/>
  <c r="R31" i="104"/>
  <c r="H31" i="104"/>
  <c r="R30" i="104"/>
  <c r="H30" i="104"/>
  <c r="R29" i="104"/>
  <c r="H29" i="104"/>
  <c r="R28" i="104"/>
  <c r="H28" i="104"/>
  <c r="R27" i="104"/>
  <c r="H27" i="104"/>
  <c r="R26" i="104"/>
  <c r="H26" i="104"/>
  <c r="S25" i="104"/>
  <c r="D19" i="104" s="1"/>
  <c r="H33" i="35" s="1"/>
  <c r="A5" i="104"/>
  <c r="R125" i="103"/>
  <c r="R124" i="103"/>
  <c r="R123" i="103"/>
  <c r="R122" i="103"/>
  <c r="R121" i="103"/>
  <c r="R120" i="103"/>
  <c r="R119" i="103"/>
  <c r="R118" i="103"/>
  <c r="R117" i="103"/>
  <c r="R116" i="103"/>
  <c r="R115" i="103"/>
  <c r="R114" i="103"/>
  <c r="R113" i="103"/>
  <c r="R112" i="103"/>
  <c r="R111" i="103"/>
  <c r="R110" i="103"/>
  <c r="R109" i="103"/>
  <c r="R108" i="103"/>
  <c r="R107" i="103"/>
  <c r="R106" i="103"/>
  <c r="R105" i="103"/>
  <c r="R104" i="103"/>
  <c r="R103" i="103"/>
  <c r="R102" i="103"/>
  <c r="R101" i="103"/>
  <c r="R100" i="103"/>
  <c r="R99" i="103"/>
  <c r="R98" i="103"/>
  <c r="R97" i="103"/>
  <c r="R96" i="103"/>
  <c r="R95" i="103"/>
  <c r="R94" i="103"/>
  <c r="R93" i="103"/>
  <c r="R92" i="103"/>
  <c r="R91" i="103"/>
  <c r="R90" i="103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H62" i="103"/>
  <c r="R61" i="103"/>
  <c r="H61" i="103"/>
  <c r="R60" i="103"/>
  <c r="H60" i="103"/>
  <c r="R59" i="103"/>
  <c r="H59" i="103"/>
  <c r="R58" i="103"/>
  <c r="H58" i="103"/>
  <c r="R57" i="103"/>
  <c r="H57" i="103"/>
  <c r="R56" i="103"/>
  <c r="H56" i="103"/>
  <c r="R55" i="103"/>
  <c r="H55" i="103"/>
  <c r="R54" i="103"/>
  <c r="H54" i="103"/>
  <c r="R53" i="103"/>
  <c r="H53" i="103"/>
  <c r="R52" i="103"/>
  <c r="H52" i="103"/>
  <c r="R51" i="103"/>
  <c r="H51" i="103"/>
  <c r="R50" i="103"/>
  <c r="H50" i="103"/>
  <c r="R49" i="103"/>
  <c r="H49" i="103"/>
  <c r="R48" i="103"/>
  <c r="H48" i="103"/>
  <c r="R47" i="103"/>
  <c r="H47" i="103"/>
  <c r="R46" i="103"/>
  <c r="H46" i="103"/>
  <c r="R45" i="103"/>
  <c r="H45" i="103"/>
  <c r="R44" i="103"/>
  <c r="H44" i="103"/>
  <c r="R43" i="103"/>
  <c r="H43" i="103"/>
  <c r="R42" i="103"/>
  <c r="H42" i="103"/>
  <c r="R41" i="103"/>
  <c r="R40" i="103"/>
  <c r="R39" i="103"/>
  <c r="R38" i="103"/>
  <c r="H38" i="103"/>
  <c r="R37" i="103"/>
  <c r="H37" i="103"/>
  <c r="R36" i="103"/>
  <c r="H36" i="103"/>
  <c r="R35" i="103"/>
  <c r="H35" i="103"/>
  <c r="R34" i="103"/>
  <c r="H34" i="103"/>
  <c r="R33" i="103"/>
  <c r="H33" i="103"/>
  <c r="R32" i="103"/>
  <c r="H32" i="103"/>
  <c r="R31" i="103"/>
  <c r="H31" i="103"/>
  <c r="R30" i="103"/>
  <c r="H30" i="103"/>
  <c r="R29" i="103"/>
  <c r="H29" i="103"/>
  <c r="R28" i="103"/>
  <c r="H28" i="103"/>
  <c r="R27" i="103"/>
  <c r="H27" i="103"/>
  <c r="R26" i="103"/>
  <c r="H26" i="103"/>
  <c r="S25" i="103"/>
  <c r="D19" i="103" s="1"/>
  <c r="H32" i="35" s="1"/>
  <c r="A5" i="103"/>
  <c r="R125" i="102"/>
  <c r="R124" i="102"/>
  <c r="R123" i="102"/>
  <c r="R122" i="102"/>
  <c r="R121" i="102"/>
  <c r="R120" i="102"/>
  <c r="R119" i="102"/>
  <c r="R118" i="102"/>
  <c r="R117" i="102"/>
  <c r="R116" i="102"/>
  <c r="R115" i="102"/>
  <c r="R114" i="102"/>
  <c r="R113" i="102"/>
  <c r="R112" i="102"/>
  <c r="R111" i="102"/>
  <c r="R110" i="102"/>
  <c r="R109" i="102"/>
  <c r="R108" i="102"/>
  <c r="R107" i="102"/>
  <c r="R106" i="102"/>
  <c r="R105" i="102"/>
  <c r="R104" i="102"/>
  <c r="R103" i="102"/>
  <c r="R102" i="102"/>
  <c r="R101" i="102"/>
  <c r="R100" i="102"/>
  <c r="R99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H62" i="102"/>
  <c r="R61" i="102"/>
  <c r="H61" i="102"/>
  <c r="R60" i="102"/>
  <c r="H60" i="102"/>
  <c r="R59" i="102"/>
  <c r="H59" i="102"/>
  <c r="R58" i="102"/>
  <c r="H58" i="102"/>
  <c r="R57" i="102"/>
  <c r="H57" i="102"/>
  <c r="R56" i="102"/>
  <c r="H56" i="102"/>
  <c r="R55" i="102"/>
  <c r="H55" i="102"/>
  <c r="R54" i="102"/>
  <c r="H54" i="102"/>
  <c r="R53" i="102"/>
  <c r="H53" i="102"/>
  <c r="R52" i="102"/>
  <c r="H52" i="102"/>
  <c r="R51" i="102"/>
  <c r="H51" i="102"/>
  <c r="R50" i="102"/>
  <c r="H50" i="102"/>
  <c r="R49" i="102"/>
  <c r="H49" i="102"/>
  <c r="R48" i="102"/>
  <c r="H48" i="102"/>
  <c r="R47" i="102"/>
  <c r="H47" i="102"/>
  <c r="R46" i="102"/>
  <c r="H46" i="102"/>
  <c r="R45" i="102"/>
  <c r="H45" i="102"/>
  <c r="R44" i="102"/>
  <c r="H44" i="102"/>
  <c r="R43" i="102"/>
  <c r="H43" i="102"/>
  <c r="R42" i="102"/>
  <c r="H42" i="102"/>
  <c r="R41" i="102"/>
  <c r="R40" i="102"/>
  <c r="R39" i="102"/>
  <c r="R38" i="102"/>
  <c r="H38" i="102"/>
  <c r="R37" i="102"/>
  <c r="H37" i="102"/>
  <c r="R36" i="102"/>
  <c r="H36" i="102"/>
  <c r="R35" i="102"/>
  <c r="H35" i="102"/>
  <c r="R34" i="102"/>
  <c r="H34" i="102"/>
  <c r="R33" i="102"/>
  <c r="H33" i="102"/>
  <c r="R32" i="102"/>
  <c r="H32" i="102"/>
  <c r="R31" i="102"/>
  <c r="H31" i="102"/>
  <c r="R30" i="102"/>
  <c r="H30" i="102"/>
  <c r="R29" i="102"/>
  <c r="H29" i="102"/>
  <c r="R28" i="102"/>
  <c r="H28" i="102"/>
  <c r="R27" i="102"/>
  <c r="H27" i="102"/>
  <c r="R26" i="102"/>
  <c r="H26" i="102"/>
  <c r="S25" i="102"/>
  <c r="D19" i="102"/>
  <c r="H31" i="35" s="1"/>
  <c r="A5" i="102"/>
  <c r="R125" i="101"/>
  <c r="R124" i="101"/>
  <c r="R123" i="101"/>
  <c r="R122" i="101"/>
  <c r="R121" i="101"/>
  <c r="R120" i="101"/>
  <c r="R119" i="101"/>
  <c r="R118" i="101"/>
  <c r="R117" i="101"/>
  <c r="R116" i="101"/>
  <c r="R115" i="101"/>
  <c r="R114" i="101"/>
  <c r="R113" i="101"/>
  <c r="R112" i="101"/>
  <c r="R111" i="101"/>
  <c r="R110" i="101"/>
  <c r="R109" i="101"/>
  <c r="R108" i="101"/>
  <c r="R107" i="101"/>
  <c r="R106" i="101"/>
  <c r="R105" i="101"/>
  <c r="R104" i="101"/>
  <c r="R103" i="101"/>
  <c r="R102" i="101"/>
  <c r="R101" i="101"/>
  <c r="R100" i="101"/>
  <c r="R99" i="101"/>
  <c r="R98" i="101"/>
  <c r="R97" i="101"/>
  <c r="R96" i="101"/>
  <c r="R95" i="101"/>
  <c r="R94" i="101"/>
  <c r="R93" i="101"/>
  <c r="R92" i="101"/>
  <c r="R91" i="101"/>
  <c r="R90" i="101"/>
  <c r="R89" i="101"/>
  <c r="R88" i="101"/>
  <c r="R87" i="101"/>
  <c r="R86" i="101"/>
  <c r="R85" i="101"/>
  <c r="R84" i="101"/>
  <c r="R83" i="101"/>
  <c r="R82" i="101"/>
  <c r="R81" i="101"/>
  <c r="R80" i="101"/>
  <c r="R79" i="101"/>
  <c r="R78" i="101"/>
  <c r="R77" i="101"/>
  <c r="R76" i="101"/>
  <c r="R75" i="101"/>
  <c r="R74" i="101"/>
  <c r="R73" i="101"/>
  <c r="R72" i="101"/>
  <c r="R71" i="101"/>
  <c r="R70" i="101"/>
  <c r="R69" i="101"/>
  <c r="R68" i="101"/>
  <c r="R67" i="101"/>
  <c r="R66" i="101"/>
  <c r="R65" i="101"/>
  <c r="R64" i="101"/>
  <c r="R63" i="101"/>
  <c r="R62" i="101"/>
  <c r="H62" i="101"/>
  <c r="R61" i="101"/>
  <c r="H61" i="101"/>
  <c r="R60" i="101"/>
  <c r="H60" i="101"/>
  <c r="R59" i="101"/>
  <c r="H59" i="101"/>
  <c r="R58" i="101"/>
  <c r="H58" i="101"/>
  <c r="R57" i="101"/>
  <c r="H57" i="101"/>
  <c r="R56" i="101"/>
  <c r="H56" i="101"/>
  <c r="R55" i="101"/>
  <c r="H55" i="101"/>
  <c r="R54" i="101"/>
  <c r="H54" i="101"/>
  <c r="R53" i="101"/>
  <c r="H53" i="101"/>
  <c r="R52" i="101"/>
  <c r="H52" i="101"/>
  <c r="R51" i="101"/>
  <c r="H51" i="101"/>
  <c r="R50" i="101"/>
  <c r="H50" i="101"/>
  <c r="R49" i="101"/>
  <c r="H49" i="101"/>
  <c r="R48" i="101"/>
  <c r="H48" i="101"/>
  <c r="R47" i="101"/>
  <c r="H47" i="101"/>
  <c r="R46" i="101"/>
  <c r="H46" i="101"/>
  <c r="R45" i="101"/>
  <c r="H45" i="101"/>
  <c r="R44" i="101"/>
  <c r="H44" i="101"/>
  <c r="R43" i="101"/>
  <c r="H43" i="101"/>
  <c r="R42" i="101"/>
  <c r="H42" i="101"/>
  <c r="R41" i="101"/>
  <c r="R40" i="101"/>
  <c r="R39" i="101"/>
  <c r="R38" i="101"/>
  <c r="H38" i="101"/>
  <c r="R37" i="101"/>
  <c r="H37" i="101"/>
  <c r="R36" i="101"/>
  <c r="H36" i="101"/>
  <c r="R35" i="101"/>
  <c r="H35" i="101"/>
  <c r="R34" i="101"/>
  <c r="H34" i="101"/>
  <c r="R33" i="101"/>
  <c r="H33" i="101"/>
  <c r="R32" i="101"/>
  <c r="H32" i="101"/>
  <c r="R31" i="101"/>
  <c r="H31" i="101"/>
  <c r="R30" i="101"/>
  <c r="H30" i="101"/>
  <c r="R29" i="101"/>
  <c r="H29" i="101"/>
  <c r="R28" i="101"/>
  <c r="H28" i="101"/>
  <c r="R27" i="101"/>
  <c r="H27" i="101"/>
  <c r="R26" i="101"/>
  <c r="H26" i="101"/>
  <c r="H39" i="101" s="1"/>
  <c r="S25" i="101"/>
  <c r="D19" i="101" s="1"/>
  <c r="H30" i="35" s="1"/>
  <c r="A5" i="101"/>
  <c r="R125" i="100"/>
  <c r="R124" i="100"/>
  <c r="R123" i="100"/>
  <c r="R122" i="100"/>
  <c r="R121" i="100"/>
  <c r="R120" i="100"/>
  <c r="R119" i="100"/>
  <c r="R118" i="100"/>
  <c r="R117" i="100"/>
  <c r="R116" i="100"/>
  <c r="R115" i="100"/>
  <c r="R114" i="100"/>
  <c r="R113" i="100"/>
  <c r="R112" i="100"/>
  <c r="R111" i="100"/>
  <c r="R110" i="100"/>
  <c r="R109" i="100"/>
  <c r="R108" i="100"/>
  <c r="R107" i="100"/>
  <c r="R106" i="100"/>
  <c r="R105" i="100"/>
  <c r="R104" i="100"/>
  <c r="R103" i="100"/>
  <c r="R102" i="100"/>
  <c r="R101" i="100"/>
  <c r="R100" i="100"/>
  <c r="R99" i="100"/>
  <c r="R98" i="100"/>
  <c r="R97" i="100"/>
  <c r="R96" i="100"/>
  <c r="R95" i="100"/>
  <c r="R94" i="100"/>
  <c r="R93" i="100"/>
  <c r="R92" i="100"/>
  <c r="R91" i="100"/>
  <c r="R90" i="100"/>
  <c r="R89" i="100"/>
  <c r="R88" i="100"/>
  <c r="R87" i="100"/>
  <c r="R86" i="100"/>
  <c r="R85" i="100"/>
  <c r="R84" i="100"/>
  <c r="R83" i="100"/>
  <c r="R82" i="100"/>
  <c r="R81" i="100"/>
  <c r="R80" i="100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H62" i="100"/>
  <c r="R61" i="100"/>
  <c r="H61" i="100"/>
  <c r="R60" i="100"/>
  <c r="H60" i="100"/>
  <c r="R59" i="100"/>
  <c r="H59" i="100"/>
  <c r="R58" i="100"/>
  <c r="H58" i="100"/>
  <c r="R57" i="100"/>
  <c r="H57" i="100"/>
  <c r="R56" i="100"/>
  <c r="H56" i="100"/>
  <c r="R55" i="100"/>
  <c r="H55" i="100"/>
  <c r="R54" i="100"/>
  <c r="H54" i="100"/>
  <c r="R53" i="100"/>
  <c r="H53" i="100"/>
  <c r="R52" i="100"/>
  <c r="H52" i="100"/>
  <c r="R51" i="100"/>
  <c r="H51" i="100"/>
  <c r="R50" i="100"/>
  <c r="H50" i="100"/>
  <c r="R49" i="100"/>
  <c r="H49" i="100"/>
  <c r="R48" i="100"/>
  <c r="H48" i="100"/>
  <c r="R47" i="100"/>
  <c r="H47" i="100"/>
  <c r="R46" i="100"/>
  <c r="H46" i="100"/>
  <c r="R45" i="100"/>
  <c r="H45" i="100"/>
  <c r="R44" i="100"/>
  <c r="H44" i="100"/>
  <c r="R43" i="100"/>
  <c r="H43" i="100"/>
  <c r="R42" i="100"/>
  <c r="H42" i="100"/>
  <c r="R41" i="100"/>
  <c r="R40" i="100"/>
  <c r="R39" i="100"/>
  <c r="R38" i="100"/>
  <c r="H38" i="100"/>
  <c r="R37" i="100"/>
  <c r="H37" i="100"/>
  <c r="R36" i="100"/>
  <c r="H36" i="100"/>
  <c r="R35" i="100"/>
  <c r="H35" i="100"/>
  <c r="R34" i="100"/>
  <c r="H34" i="100"/>
  <c r="R33" i="100"/>
  <c r="H33" i="100"/>
  <c r="R32" i="100"/>
  <c r="H32" i="100"/>
  <c r="R31" i="100"/>
  <c r="H31" i="100"/>
  <c r="R30" i="100"/>
  <c r="H30" i="100"/>
  <c r="R29" i="100"/>
  <c r="H29" i="100"/>
  <c r="R28" i="100"/>
  <c r="H28" i="100"/>
  <c r="R27" i="100"/>
  <c r="H27" i="100"/>
  <c r="R26" i="100"/>
  <c r="H26" i="100"/>
  <c r="S25" i="100"/>
  <c r="D19" i="100" s="1"/>
  <c r="H29" i="35" s="1"/>
  <c r="A5" i="100"/>
  <c r="R125" i="99"/>
  <c r="R124" i="99"/>
  <c r="R123" i="99"/>
  <c r="R122" i="99"/>
  <c r="R121" i="99"/>
  <c r="R120" i="99"/>
  <c r="R119" i="99"/>
  <c r="R118" i="99"/>
  <c r="R117" i="99"/>
  <c r="R116" i="99"/>
  <c r="R115" i="99"/>
  <c r="R114" i="99"/>
  <c r="R113" i="99"/>
  <c r="R112" i="99"/>
  <c r="R111" i="99"/>
  <c r="R110" i="99"/>
  <c r="R109" i="99"/>
  <c r="R108" i="99"/>
  <c r="R107" i="99"/>
  <c r="R106" i="99"/>
  <c r="R105" i="99"/>
  <c r="R104" i="99"/>
  <c r="R103" i="99"/>
  <c r="R102" i="99"/>
  <c r="R101" i="99"/>
  <c r="R100" i="99"/>
  <c r="R99" i="99"/>
  <c r="R98" i="99"/>
  <c r="R97" i="99"/>
  <c r="R96" i="99"/>
  <c r="R95" i="99"/>
  <c r="R94" i="99"/>
  <c r="R93" i="99"/>
  <c r="R92" i="99"/>
  <c r="R91" i="99"/>
  <c r="R90" i="99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H62" i="99"/>
  <c r="R61" i="99"/>
  <c r="H61" i="99"/>
  <c r="R60" i="99"/>
  <c r="H60" i="99"/>
  <c r="R59" i="99"/>
  <c r="H59" i="99"/>
  <c r="R58" i="99"/>
  <c r="H58" i="99"/>
  <c r="R57" i="99"/>
  <c r="H57" i="99"/>
  <c r="R56" i="99"/>
  <c r="H56" i="99"/>
  <c r="R55" i="99"/>
  <c r="H55" i="99"/>
  <c r="R54" i="99"/>
  <c r="H54" i="99"/>
  <c r="R53" i="99"/>
  <c r="H53" i="99"/>
  <c r="R52" i="99"/>
  <c r="H52" i="99"/>
  <c r="R51" i="99"/>
  <c r="H51" i="99"/>
  <c r="R50" i="99"/>
  <c r="H50" i="99"/>
  <c r="R49" i="99"/>
  <c r="H49" i="99"/>
  <c r="R48" i="99"/>
  <c r="H48" i="99"/>
  <c r="R47" i="99"/>
  <c r="H47" i="99"/>
  <c r="R46" i="99"/>
  <c r="H46" i="99"/>
  <c r="R45" i="99"/>
  <c r="H45" i="99"/>
  <c r="R44" i="99"/>
  <c r="H44" i="99"/>
  <c r="R43" i="99"/>
  <c r="H43" i="99"/>
  <c r="R42" i="99"/>
  <c r="H42" i="99"/>
  <c r="R41" i="99"/>
  <c r="R40" i="99"/>
  <c r="R39" i="99"/>
  <c r="R38" i="99"/>
  <c r="H38" i="99"/>
  <c r="R37" i="99"/>
  <c r="H37" i="99"/>
  <c r="R36" i="99"/>
  <c r="H36" i="99"/>
  <c r="R35" i="99"/>
  <c r="H35" i="99"/>
  <c r="R34" i="99"/>
  <c r="H34" i="99"/>
  <c r="R33" i="99"/>
  <c r="H33" i="99"/>
  <c r="R32" i="99"/>
  <c r="H32" i="99"/>
  <c r="R31" i="99"/>
  <c r="H31" i="99"/>
  <c r="R30" i="99"/>
  <c r="H30" i="99"/>
  <c r="R29" i="99"/>
  <c r="H29" i="99"/>
  <c r="R28" i="99"/>
  <c r="H28" i="99"/>
  <c r="R27" i="99"/>
  <c r="H27" i="99"/>
  <c r="R26" i="99"/>
  <c r="H26" i="99"/>
  <c r="S25" i="99"/>
  <c r="D19" i="99" s="1"/>
  <c r="H28" i="35" s="1"/>
  <c r="A5" i="99"/>
  <c r="R125" i="98"/>
  <c r="R124" i="98"/>
  <c r="R123" i="98"/>
  <c r="R122" i="98"/>
  <c r="R121" i="98"/>
  <c r="R120" i="98"/>
  <c r="R119" i="98"/>
  <c r="R118" i="98"/>
  <c r="R117" i="98"/>
  <c r="R116" i="98"/>
  <c r="R115" i="98"/>
  <c r="R114" i="98"/>
  <c r="R113" i="98"/>
  <c r="R112" i="98"/>
  <c r="R111" i="98"/>
  <c r="R110" i="98"/>
  <c r="R109" i="98"/>
  <c r="R108" i="98"/>
  <c r="R107" i="98"/>
  <c r="R106" i="98"/>
  <c r="R105" i="98"/>
  <c r="R104" i="98"/>
  <c r="R103" i="98"/>
  <c r="R102" i="98"/>
  <c r="R101" i="98"/>
  <c r="R100" i="98"/>
  <c r="R99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H62" i="98"/>
  <c r="R61" i="98"/>
  <c r="H61" i="98"/>
  <c r="R60" i="98"/>
  <c r="H60" i="98"/>
  <c r="R59" i="98"/>
  <c r="H59" i="98"/>
  <c r="R58" i="98"/>
  <c r="H58" i="98"/>
  <c r="R57" i="98"/>
  <c r="H57" i="98"/>
  <c r="R56" i="98"/>
  <c r="H56" i="98"/>
  <c r="R55" i="98"/>
  <c r="H55" i="98"/>
  <c r="R54" i="98"/>
  <c r="H54" i="98"/>
  <c r="R53" i="98"/>
  <c r="H53" i="98"/>
  <c r="R52" i="98"/>
  <c r="H52" i="98"/>
  <c r="R51" i="98"/>
  <c r="H51" i="98"/>
  <c r="R50" i="98"/>
  <c r="H50" i="98"/>
  <c r="R49" i="98"/>
  <c r="H49" i="98"/>
  <c r="R48" i="98"/>
  <c r="H48" i="98"/>
  <c r="R47" i="98"/>
  <c r="H47" i="98"/>
  <c r="R46" i="98"/>
  <c r="H46" i="98"/>
  <c r="R45" i="98"/>
  <c r="H45" i="98"/>
  <c r="R44" i="98"/>
  <c r="H44" i="98"/>
  <c r="R43" i="98"/>
  <c r="H43" i="98"/>
  <c r="R42" i="98"/>
  <c r="H42" i="98"/>
  <c r="R41" i="98"/>
  <c r="R40" i="98"/>
  <c r="R39" i="98"/>
  <c r="R38" i="98"/>
  <c r="H38" i="98"/>
  <c r="R37" i="98"/>
  <c r="H37" i="98"/>
  <c r="R36" i="98"/>
  <c r="H36" i="98"/>
  <c r="R35" i="98"/>
  <c r="H35" i="98"/>
  <c r="R34" i="98"/>
  <c r="H34" i="98"/>
  <c r="R33" i="98"/>
  <c r="H33" i="98"/>
  <c r="R32" i="98"/>
  <c r="H32" i="98"/>
  <c r="R31" i="98"/>
  <c r="H31" i="98"/>
  <c r="R30" i="98"/>
  <c r="H30" i="98"/>
  <c r="R29" i="98"/>
  <c r="H29" i="98"/>
  <c r="R28" i="98"/>
  <c r="H28" i="98"/>
  <c r="R27" i="98"/>
  <c r="H27" i="98"/>
  <c r="R26" i="98"/>
  <c r="H26" i="98"/>
  <c r="S25" i="98"/>
  <c r="D19" i="98" s="1"/>
  <c r="H27" i="35" s="1"/>
  <c r="A5" i="98"/>
  <c r="R125" i="97"/>
  <c r="R124" i="97"/>
  <c r="R123" i="97"/>
  <c r="R122" i="97"/>
  <c r="R121" i="97"/>
  <c r="R120" i="97"/>
  <c r="R119" i="97"/>
  <c r="R118" i="97"/>
  <c r="R117" i="97"/>
  <c r="R116" i="97"/>
  <c r="R115" i="97"/>
  <c r="R114" i="97"/>
  <c r="R113" i="97"/>
  <c r="R112" i="97"/>
  <c r="R111" i="97"/>
  <c r="R110" i="97"/>
  <c r="R109" i="97"/>
  <c r="R108" i="97"/>
  <c r="R107" i="97"/>
  <c r="R106" i="97"/>
  <c r="R105" i="97"/>
  <c r="R104" i="97"/>
  <c r="R103" i="97"/>
  <c r="R102" i="97"/>
  <c r="R101" i="97"/>
  <c r="R100" i="97"/>
  <c r="R99" i="97"/>
  <c r="R98" i="97"/>
  <c r="R97" i="97"/>
  <c r="R96" i="97"/>
  <c r="R95" i="97"/>
  <c r="R94" i="97"/>
  <c r="R93" i="97"/>
  <c r="R92" i="97"/>
  <c r="R91" i="97"/>
  <c r="R90" i="97"/>
  <c r="R89" i="97"/>
  <c r="R88" i="97"/>
  <c r="R87" i="97"/>
  <c r="R86" i="97"/>
  <c r="R85" i="97"/>
  <c r="R84" i="97"/>
  <c r="R83" i="97"/>
  <c r="R82" i="97"/>
  <c r="R81" i="97"/>
  <c r="R80" i="97"/>
  <c r="R79" i="97"/>
  <c r="R78" i="97"/>
  <c r="R77" i="97"/>
  <c r="R76" i="97"/>
  <c r="R75" i="97"/>
  <c r="R74" i="97"/>
  <c r="R73" i="97"/>
  <c r="R72" i="97"/>
  <c r="R71" i="97"/>
  <c r="R70" i="97"/>
  <c r="R69" i="97"/>
  <c r="R68" i="97"/>
  <c r="R67" i="97"/>
  <c r="R66" i="97"/>
  <c r="R65" i="97"/>
  <c r="R64" i="97"/>
  <c r="R63" i="97"/>
  <c r="R62" i="97"/>
  <c r="H62" i="97"/>
  <c r="R61" i="97"/>
  <c r="H61" i="97"/>
  <c r="R60" i="97"/>
  <c r="H60" i="97"/>
  <c r="R59" i="97"/>
  <c r="H59" i="97"/>
  <c r="R58" i="97"/>
  <c r="H58" i="97"/>
  <c r="R57" i="97"/>
  <c r="H57" i="97"/>
  <c r="R56" i="97"/>
  <c r="H56" i="97"/>
  <c r="R55" i="97"/>
  <c r="H55" i="97"/>
  <c r="R54" i="97"/>
  <c r="H54" i="97"/>
  <c r="R53" i="97"/>
  <c r="H53" i="97"/>
  <c r="R52" i="97"/>
  <c r="H52" i="97"/>
  <c r="R51" i="97"/>
  <c r="H51" i="97"/>
  <c r="R50" i="97"/>
  <c r="H50" i="97"/>
  <c r="R49" i="97"/>
  <c r="H49" i="97"/>
  <c r="R48" i="97"/>
  <c r="H48" i="97"/>
  <c r="R47" i="97"/>
  <c r="H47" i="97"/>
  <c r="R46" i="97"/>
  <c r="H46" i="97"/>
  <c r="R45" i="97"/>
  <c r="H45" i="97"/>
  <c r="R44" i="97"/>
  <c r="H44" i="97"/>
  <c r="R43" i="97"/>
  <c r="H43" i="97"/>
  <c r="R42" i="97"/>
  <c r="H42" i="97"/>
  <c r="R41" i="97"/>
  <c r="R40" i="97"/>
  <c r="R39" i="97"/>
  <c r="R38" i="97"/>
  <c r="H38" i="97"/>
  <c r="R37" i="97"/>
  <c r="H37" i="97"/>
  <c r="R36" i="97"/>
  <c r="H36" i="97"/>
  <c r="R35" i="97"/>
  <c r="H35" i="97"/>
  <c r="R34" i="97"/>
  <c r="H34" i="97"/>
  <c r="R33" i="97"/>
  <c r="H33" i="97"/>
  <c r="R32" i="97"/>
  <c r="H32" i="97"/>
  <c r="R31" i="97"/>
  <c r="H31" i="97"/>
  <c r="R30" i="97"/>
  <c r="H30" i="97"/>
  <c r="R29" i="97"/>
  <c r="H29" i="97"/>
  <c r="R28" i="97"/>
  <c r="H28" i="97"/>
  <c r="R27" i="97"/>
  <c r="H27" i="97"/>
  <c r="R26" i="97"/>
  <c r="H26" i="97"/>
  <c r="S25" i="97"/>
  <c r="D19" i="97" s="1"/>
  <c r="H26" i="35" s="1"/>
  <c r="A5" i="97"/>
  <c r="R125" i="96"/>
  <c r="R124" i="96"/>
  <c r="R123" i="96"/>
  <c r="R122" i="96"/>
  <c r="R121" i="96"/>
  <c r="R120" i="96"/>
  <c r="R119" i="96"/>
  <c r="R118" i="96"/>
  <c r="R117" i="96"/>
  <c r="R116" i="96"/>
  <c r="R115" i="96"/>
  <c r="R114" i="96"/>
  <c r="R113" i="96"/>
  <c r="R112" i="96"/>
  <c r="R111" i="96"/>
  <c r="R110" i="96"/>
  <c r="R109" i="96"/>
  <c r="R108" i="96"/>
  <c r="R107" i="96"/>
  <c r="R106" i="96"/>
  <c r="R105" i="96"/>
  <c r="R104" i="96"/>
  <c r="R103" i="96"/>
  <c r="R102" i="96"/>
  <c r="R101" i="96"/>
  <c r="R100" i="96"/>
  <c r="R99" i="96"/>
  <c r="R98" i="96"/>
  <c r="R97" i="96"/>
  <c r="R96" i="96"/>
  <c r="R95" i="96"/>
  <c r="R94" i="96"/>
  <c r="R93" i="96"/>
  <c r="R92" i="96"/>
  <c r="R91" i="96"/>
  <c r="R90" i="96"/>
  <c r="R89" i="96"/>
  <c r="R88" i="96"/>
  <c r="R87" i="96"/>
  <c r="R86" i="96"/>
  <c r="R85" i="96"/>
  <c r="R84" i="96"/>
  <c r="R83" i="96"/>
  <c r="R82" i="96"/>
  <c r="R81" i="96"/>
  <c r="R80" i="96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H62" i="96"/>
  <c r="R61" i="96"/>
  <c r="H61" i="96"/>
  <c r="R60" i="96"/>
  <c r="H60" i="96"/>
  <c r="R59" i="96"/>
  <c r="H59" i="96"/>
  <c r="R58" i="96"/>
  <c r="H58" i="96"/>
  <c r="R57" i="96"/>
  <c r="H57" i="96"/>
  <c r="R56" i="96"/>
  <c r="H56" i="96"/>
  <c r="R55" i="96"/>
  <c r="H55" i="96"/>
  <c r="R54" i="96"/>
  <c r="H54" i="96"/>
  <c r="R53" i="96"/>
  <c r="H53" i="96"/>
  <c r="R52" i="96"/>
  <c r="H52" i="96"/>
  <c r="R51" i="96"/>
  <c r="H51" i="96"/>
  <c r="R50" i="96"/>
  <c r="H50" i="96"/>
  <c r="R49" i="96"/>
  <c r="H49" i="96"/>
  <c r="R48" i="96"/>
  <c r="H48" i="96"/>
  <c r="R47" i="96"/>
  <c r="H47" i="96"/>
  <c r="R46" i="96"/>
  <c r="H46" i="96"/>
  <c r="R45" i="96"/>
  <c r="H45" i="96"/>
  <c r="R44" i="96"/>
  <c r="H44" i="96"/>
  <c r="R43" i="96"/>
  <c r="H43" i="96"/>
  <c r="R42" i="96"/>
  <c r="H42" i="96"/>
  <c r="R41" i="96"/>
  <c r="R40" i="96"/>
  <c r="R39" i="96"/>
  <c r="R38" i="96"/>
  <c r="H38" i="96"/>
  <c r="R37" i="96"/>
  <c r="H37" i="96"/>
  <c r="R36" i="96"/>
  <c r="H36" i="96"/>
  <c r="R35" i="96"/>
  <c r="H35" i="96"/>
  <c r="R34" i="96"/>
  <c r="H34" i="96"/>
  <c r="R33" i="96"/>
  <c r="H33" i="96"/>
  <c r="R32" i="96"/>
  <c r="H32" i="96"/>
  <c r="R31" i="96"/>
  <c r="H31" i="96"/>
  <c r="R30" i="96"/>
  <c r="H30" i="96"/>
  <c r="R29" i="96"/>
  <c r="H29" i="96"/>
  <c r="R28" i="96"/>
  <c r="H28" i="96"/>
  <c r="R27" i="96"/>
  <c r="H27" i="96"/>
  <c r="R26" i="96"/>
  <c r="H26" i="96"/>
  <c r="S25" i="96"/>
  <c r="D19" i="96" s="1"/>
  <c r="H25" i="35" s="1"/>
  <c r="A5" i="96"/>
  <c r="R125" i="95"/>
  <c r="R124" i="95"/>
  <c r="R123" i="95"/>
  <c r="R122" i="95"/>
  <c r="R121" i="95"/>
  <c r="R120" i="95"/>
  <c r="R119" i="95"/>
  <c r="R118" i="95"/>
  <c r="R117" i="95"/>
  <c r="R116" i="95"/>
  <c r="R115" i="95"/>
  <c r="R114" i="95"/>
  <c r="R113" i="95"/>
  <c r="R112" i="95"/>
  <c r="R111" i="95"/>
  <c r="R110" i="95"/>
  <c r="R109" i="95"/>
  <c r="R108" i="95"/>
  <c r="R107" i="95"/>
  <c r="R106" i="95"/>
  <c r="R105" i="95"/>
  <c r="R104" i="95"/>
  <c r="R103" i="95"/>
  <c r="R102" i="95"/>
  <c r="R101" i="95"/>
  <c r="R100" i="95"/>
  <c r="R99" i="95"/>
  <c r="R98" i="95"/>
  <c r="R97" i="95"/>
  <c r="R96" i="95"/>
  <c r="R95" i="95"/>
  <c r="R94" i="95"/>
  <c r="R93" i="95"/>
  <c r="R92" i="95"/>
  <c r="R91" i="95"/>
  <c r="R90" i="95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H62" i="95"/>
  <c r="R61" i="95"/>
  <c r="H61" i="95"/>
  <c r="R60" i="95"/>
  <c r="H60" i="95"/>
  <c r="R59" i="95"/>
  <c r="H59" i="95"/>
  <c r="R58" i="95"/>
  <c r="H58" i="95"/>
  <c r="R57" i="95"/>
  <c r="H57" i="95"/>
  <c r="R56" i="95"/>
  <c r="H56" i="95"/>
  <c r="R55" i="95"/>
  <c r="H55" i="95"/>
  <c r="R54" i="95"/>
  <c r="H54" i="95"/>
  <c r="R53" i="95"/>
  <c r="H53" i="95"/>
  <c r="R52" i="95"/>
  <c r="H52" i="95"/>
  <c r="R51" i="95"/>
  <c r="H51" i="95"/>
  <c r="R50" i="95"/>
  <c r="H50" i="95"/>
  <c r="R49" i="95"/>
  <c r="H49" i="95"/>
  <c r="R48" i="95"/>
  <c r="H48" i="95"/>
  <c r="R47" i="95"/>
  <c r="H47" i="95"/>
  <c r="R46" i="95"/>
  <c r="H46" i="95"/>
  <c r="R45" i="95"/>
  <c r="H45" i="95"/>
  <c r="R44" i="95"/>
  <c r="H44" i="95"/>
  <c r="R43" i="95"/>
  <c r="H43" i="95"/>
  <c r="R42" i="95"/>
  <c r="H42" i="95"/>
  <c r="R41" i="95"/>
  <c r="R40" i="95"/>
  <c r="R39" i="95"/>
  <c r="R38" i="95"/>
  <c r="H38" i="95"/>
  <c r="R37" i="95"/>
  <c r="H37" i="95"/>
  <c r="R36" i="95"/>
  <c r="H36" i="95"/>
  <c r="R35" i="95"/>
  <c r="H35" i="95"/>
  <c r="R34" i="95"/>
  <c r="H34" i="95"/>
  <c r="R33" i="95"/>
  <c r="H33" i="95"/>
  <c r="R32" i="95"/>
  <c r="H32" i="95"/>
  <c r="R31" i="95"/>
  <c r="H31" i="95"/>
  <c r="R30" i="95"/>
  <c r="H30" i="95"/>
  <c r="R29" i="95"/>
  <c r="H29" i="95"/>
  <c r="R28" i="95"/>
  <c r="H28" i="95"/>
  <c r="R27" i="95"/>
  <c r="H27" i="95"/>
  <c r="R26" i="95"/>
  <c r="H26" i="95"/>
  <c r="S25" i="95"/>
  <c r="D19" i="95" s="1"/>
  <c r="H24" i="35" s="1"/>
  <c r="A5" i="95"/>
  <c r="R125" i="94"/>
  <c r="R124" i="94"/>
  <c r="R123" i="94"/>
  <c r="R122" i="94"/>
  <c r="R121" i="94"/>
  <c r="R120" i="94"/>
  <c r="R119" i="94"/>
  <c r="R118" i="94"/>
  <c r="R117" i="94"/>
  <c r="R116" i="94"/>
  <c r="R115" i="94"/>
  <c r="R114" i="94"/>
  <c r="R113" i="94"/>
  <c r="R112" i="94"/>
  <c r="R111" i="94"/>
  <c r="R110" i="94"/>
  <c r="R109" i="94"/>
  <c r="R108" i="94"/>
  <c r="R107" i="94"/>
  <c r="R106" i="94"/>
  <c r="R105" i="94"/>
  <c r="R104" i="94"/>
  <c r="R103" i="94"/>
  <c r="R102" i="94"/>
  <c r="R101" i="94"/>
  <c r="R100" i="94"/>
  <c r="R99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H62" i="94"/>
  <c r="R61" i="94"/>
  <c r="H61" i="94"/>
  <c r="R60" i="94"/>
  <c r="H60" i="94"/>
  <c r="R59" i="94"/>
  <c r="H59" i="94"/>
  <c r="R58" i="94"/>
  <c r="H58" i="94"/>
  <c r="R57" i="94"/>
  <c r="H57" i="94"/>
  <c r="R56" i="94"/>
  <c r="H56" i="94"/>
  <c r="R55" i="94"/>
  <c r="H55" i="94"/>
  <c r="R54" i="94"/>
  <c r="H54" i="94"/>
  <c r="R53" i="94"/>
  <c r="H53" i="94"/>
  <c r="R52" i="94"/>
  <c r="H52" i="94"/>
  <c r="R51" i="94"/>
  <c r="H51" i="94"/>
  <c r="R50" i="94"/>
  <c r="H50" i="94"/>
  <c r="R49" i="94"/>
  <c r="H49" i="94"/>
  <c r="R48" i="94"/>
  <c r="H48" i="94"/>
  <c r="R47" i="94"/>
  <c r="H47" i="94"/>
  <c r="R46" i="94"/>
  <c r="H46" i="94"/>
  <c r="R45" i="94"/>
  <c r="H45" i="94"/>
  <c r="R44" i="94"/>
  <c r="H44" i="94"/>
  <c r="R43" i="94"/>
  <c r="H43" i="94"/>
  <c r="R42" i="94"/>
  <c r="H42" i="94"/>
  <c r="R41" i="94"/>
  <c r="R40" i="94"/>
  <c r="R39" i="94"/>
  <c r="R38" i="94"/>
  <c r="H38" i="94"/>
  <c r="R37" i="94"/>
  <c r="H37" i="94"/>
  <c r="R36" i="94"/>
  <c r="H36" i="94"/>
  <c r="R35" i="94"/>
  <c r="H35" i="94"/>
  <c r="R34" i="94"/>
  <c r="H34" i="94"/>
  <c r="R33" i="94"/>
  <c r="H33" i="94"/>
  <c r="R32" i="94"/>
  <c r="H32" i="94"/>
  <c r="R31" i="94"/>
  <c r="H31" i="94"/>
  <c r="R30" i="94"/>
  <c r="H30" i="94"/>
  <c r="R29" i="94"/>
  <c r="H29" i="94"/>
  <c r="R28" i="94"/>
  <c r="H28" i="94"/>
  <c r="R27" i="94"/>
  <c r="H27" i="94"/>
  <c r="R26" i="94"/>
  <c r="H26" i="94"/>
  <c r="S25" i="94"/>
  <c r="D19" i="94" s="1"/>
  <c r="H23" i="35" s="1"/>
  <c r="A5" i="94"/>
  <c r="R125" i="93"/>
  <c r="R124" i="93"/>
  <c r="R123" i="93"/>
  <c r="R122" i="93"/>
  <c r="R121" i="93"/>
  <c r="R120" i="93"/>
  <c r="R119" i="93"/>
  <c r="R118" i="93"/>
  <c r="R117" i="93"/>
  <c r="R116" i="93"/>
  <c r="R115" i="93"/>
  <c r="R114" i="93"/>
  <c r="R113" i="93"/>
  <c r="R112" i="93"/>
  <c r="R111" i="93"/>
  <c r="R110" i="93"/>
  <c r="R109" i="93"/>
  <c r="R108" i="93"/>
  <c r="R107" i="93"/>
  <c r="R106" i="93"/>
  <c r="R105" i="93"/>
  <c r="R104" i="93"/>
  <c r="R103" i="93"/>
  <c r="R102" i="93"/>
  <c r="R101" i="93"/>
  <c r="R100" i="93"/>
  <c r="R99" i="93"/>
  <c r="R98" i="93"/>
  <c r="R97" i="93"/>
  <c r="R96" i="93"/>
  <c r="R95" i="93"/>
  <c r="R94" i="93"/>
  <c r="R93" i="93"/>
  <c r="R92" i="93"/>
  <c r="R91" i="93"/>
  <c r="R90" i="93"/>
  <c r="R89" i="93"/>
  <c r="R88" i="93"/>
  <c r="R87" i="93"/>
  <c r="R86" i="93"/>
  <c r="R85" i="93"/>
  <c r="R84" i="93"/>
  <c r="R83" i="93"/>
  <c r="R82" i="93"/>
  <c r="R81" i="93"/>
  <c r="R80" i="93"/>
  <c r="R79" i="93"/>
  <c r="R78" i="93"/>
  <c r="R77" i="93"/>
  <c r="R76" i="93"/>
  <c r="R75" i="93"/>
  <c r="R74" i="93"/>
  <c r="R73" i="93"/>
  <c r="R72" i="93"/>
  <c r="R71" i="93"/>
  <c r="R70" i="93"/>
  <c r="R69" i="93"/>
  <c r="R68" i="93"/>
  <c r="R67" i="93"/>
  <c r="R66" i="93"/>
  <c r="R65" i="93"/>
  <c r="R64" i="93"/>
  <c r="R63" i="93"/>
  <c r="R62" i="93"/>
  <c r="H62" i="93"/>
  <c r="R61" i="93"/>
  <c r="H61" i="93"/>
  <c r="R60" i="93"/>
  <c r="H60" i="93"/>
  <c r="R59" i="93"/>
  <c r="H59" i="93"/>
  <c r="R58" i="93"/>
  <c r="H58" i="93"/>
  <c r="R57" i="93"/>
  <c r="H57" i="93"/>
  <c r="R56" i="93"/>
  <c r="H56" i="93"/>
  <c r="R55" i="93"/>
  <c r="H55" i="93"/>
  <c r="R54" i="93"/>
  <c r="H54" i="93"/>
  <c r="R53" i="93"/>
  <c r="H53" i="93"/>
  <c r="R52" i="93"/>
  <c r="H52" i="93"/>
  <c r="R51" i="93"/>
  <c r="H51" i="93"/>
  <c r="R50" i="93"/>
  <c r="H50" i="93"/>
  <c r="R49" i="93"/>
  <c r="H49" i="93"/>
  <c r="R48" i="93"/>
  <c r="H48" i="93"/>
  <c r="R47" i="93"/>
  <c r="H47" i="93"/>
  <c r="R46" i="93"/>
  <c r="H46" i="93"/>
  <c r="R45" i="93"/>
  <c r="H45" i="93"/>
  <c r="R44" i="93"/>
  <c r="H44" i="93"/>
  <c r="R43" i="93"/>
  <c r="H43" i="93"/>
  <c r="R42" i="93"/>
  <c r="H42" i="93"/>
  <c r="R41" i="93"/>
  <c r="R40" i="93"/>
  <c r="R39" i="93"/>
  <c r="R38" i="93"/>
  <c r="H38" i="93"/>
  <c r="R37" i="93"/>
  <c r="H37" i="93"/>
  <c r="R36" i="93"/>
  <c r="H36" i="93"/>
  <c r="R35" i="93"/>
  <c r="H35" i="93"/>
  <c r="R34" i="93"/>
  <c r="H34" i="93"/>
  <c r="R33" i="93"/>
  <c r="H33" i="93"/>
  <c r="R32" i="93"/>
  <c r="H32" i="93"/>
  <c r="R31" i="93"/>
  <c r="H31" i="93"/>
  <c r="R30" i="93"/>
  <c r="H30" i="93"/>
  <c r="R29" i="93"/>
  <c r="H29" i="93"/>
  <c r="R28" i="93"/>
  <c r="H28" i="93"/>
  <c r="R27" i="93"/>
  <c r="H27" i="93"/>
  <c r="R26" i="93"/>
  <c r="H26" i="93"/>
  <c r="S25" i="93"/>
  <c r="D19" i="93" s="1"/>
  <c r="H22" i="35" s="1"/>
  <c r="A5" i="93"/>
  <c r="R125" i="92"/>
  <c r="R124" i="92"/>
  <c r="R123" i="92"/>
  <c r="R122" i="92"/>
  <c r="R121" i="92"/>
  <c r="R120" i="92"/>
  <c r="R119" i="92"/>
  <c r="R118" i="92"/>
  <c r="R117" i="92"/>
  <c r="R116" i="92"/>
  <c r="R115" i="92"/>
  <c r="R114" i="92"/>
  <c r="R113" i="92"/>
  <c r="R112" i="92"/>
  <c r="R111" i="92"/>
  <c r="R110" i="92"/>
  <c r="R109" i="92"/>
  <c r="R108" i="92"/>
  <c r="R107" i="92"/>
  <c r="R106" i="92"/>
  <c r="R105" i="92"/>
  <c r="R104" i="92"/>
  <c r="R103" i="92"/>
  <c r="R102" i="92"/>
  <c r="R101" i="92"/>
  <c r="R100" i="92"/>
  <c r="R99" i="92"/>
  <c r="R98" i="92"/>
  <c r="R97" i="92"/>
  <c r="R96" i="92"/>
  <c r="R95" i="92"/>
  <c r="R94" i="92"/>
  <c r="R93" i="92"/>
  <c r="R92" i="92"/>
  <c r="R91" i="92"/>
  <c r="R90" i="92"/>
  <c r="R89" i="92"/>
  <c r="R88" i="92"/>
  <c r="R87" i="92"/>
  <c r="R86" i="92"/>
  <c r="R85" i="92"/>
  <c r="R84" i="92"/>
  <c r="R83" i="92"/>
  <c r="R82" i="92"/>
  <c r="R81" i="92"/>
  <c r="R80" i="92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H62" i="92"/>
  <c r="R61" i="92"/>
  <c r="H61" i="92"/>
  <c r="R60" i="92"/>
  <c r="H60" i="92"/>
  <c r="R59" i="92"/>
  <c r="H59" i="92"/>
  <c r="R58" i="92"/>
  <c r="H58" i="92"/>
  <c r="R57" i="92"/>
  <c r="H57" i="92"/>
  <c r="R56" i="92"/>
  <c r="H56" i="92"/>
  <c r="R55" i="92"/>
  <c r="H55" i="92"/>
  <c r="R54" i="92"/>
  <c r="H54" i="92"/>
  <c r="R53" i="92"/>
  <c r="H53" i="92"/>
  <c r="R52" i="92"/>
  <c r="H52" i="92"/>
  <c r="R51" i="92"/>
  <c r="H51" i="92"/>
  <c r="R50" i="92"/>
  <c r="H50" i="92"/>
  <c r="R49" i="92"/>
  <c r="H49" i="92"/>
  <c r="R48" i="92"/>
  <c r="H48" i="92"/>
  <c r="R47" i="92"/>
  <c r="H47" i="92"/>
  <c r="R46" i="92"/>
  <c r="H46" i="92"/>
  <c r="R45" i="92"/>
  <c r="H45" i="92"/>
  <c r="R44" i="92"/>
  <c r="H44" i="92"/>
  <c r="R43" i="92"/>
  <c r="H43" i="92"/>
  <c r="R42" i="92"/>
  <c r="H42" i="92"/>
  <c r="R41" i="92"/>
  <c r="R40" i="92"/>
  <c r="R39" i="92"/>
  <c r="R38" i="92"/>
  <c r="H38" i="92"/>
  <c r="R37" i="92"/>
  <c r="H37" i="92"/>
  <c r="R36" i="92"/>
  <c r="H36" i="92"/>
  <c r="R35" i="92"/>
  <c r="H35" i="92"/>
  <c r="R34" i="92"/>
  <c r="H34" i="92"/>
  <c r="R33" i="92"/>
  <c r="H33" i="92"/>
  <c r="R32" i="92"/>
  <c r="H32" i="92"/>
  <c r="R31" i="92"/>
  <c r="H31" i="92"/>
  <c r="R30" i="92"/>
  <c r="H30" i="92"/>
  <c r="R29" i="92"/>
  <c r="H29" i="92"/>
  <c r="R28" i="92"/>
  <c r="H28" i="92"/>
  <c r="R27" i="92"/>
  <c r="H27" i="92"/>
  <c r="R26" i="92"/>
  <c r="H26" i="92"/>
  <c r="S25" i="92"/>
  <c r="D19" i="92" s="1"/>
  <c r="H21" i="35" s="1"/>
  <c r="A5" i="92"/>
  <c r="R125" i="91"/>
  <c r="R124" i="91"/>
  <c r="R123" i="91"/>
  <c r="R122" i="91"/>
  <c r="R121" i="91"/>
  <c r="R120" i="91"/>
  <c r="R119" i="91"/>
  <c r="R118" i="91"/>
  <c r="R117" i="91"/>
  <c r="R116" i="91"/>
  <c r="R115" i="91"/>
  <c r="R114" i="91"/>
  <c r="R113" i="91"/>
  <c r="R112" i="91"/>
  <c r="R111" i="91"/>
  <c r="R110" i="91"/>
  <c r="R109" i="91"/>
  <c r="R108" i="91"/>
  <c r="R107" i="91"/>
  <c r="R106" i="91"/>
  <c r="R105" i="91"/>
  <c r="R104" i="91"/>
  <c r="R103" i="91"/>
  <c r="R102" i="91"/>
  <c r="R101" i="91"/>
  <c r="R100" i="91"/>
  <c r="R99" i="91"/>
  <c r="R98" i="91"/>
  <c r="R97" i="91"/>
  <c r="R96" i="91"/>
  <c r="R95" i="91"/>
  <c r="R94" i="91"/>
  <c r="R93" i="91"/>
  <c r="R92" i="91"/>
  <c r="R91" i="91"/>
  <c r="R90" i="9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H62" i="91"/>
  <c r="R61" i="91"/>
  <c r="H61" i="91"/>
  <c r="R60" i="91"/>
  <c r="H60" i="91"/>
  <c r="R59" i="91"/>
  <c r="H59" i="91"/>
  <c r="R58" i="91"/>
  <c r="H58" i="91"/>
  <c r="R57" i="91"/>
  <c r="H57" i="91"/>
  <c r="R56" i="91"/>
  <c r="H56" i="91"/>
  <c r="R55" i="91"/>
  <c r="H55" i="91"/>
  <c r="R54" i="91"/>
  <c r="H54" i="91"/>
  <c r="R53" i="91"/>
  <c r="H53" i="91"/>
  <c r="R52" i="91"/>
  <c r="H52" i="91"/>
  <c r="R51" i="91"/>
  <c r="H51" i="91"/>
  <c r="R50" i="91"/>
  <c r="H50" i="91"/>
  <c r="R49" i="91"/>
  <c r="H49" i="91"/>
  <c r="R48" i="91"/>
  <c r="H48" i="91"/>
  <c r="R47" i="91"/>
  <c r="H47" i="91"/>
  <c r="R46" i="91"/>
  <c r="H46" i="91"/>
  <c r="R45" i="91"/>
  <c r="H45" i="91"/>
  <c r="R44" i="91"/>
  <c r="H44" i="91"/>
  <c r="R43" i="91"/>
  <c r="H43" i="91"/>
  <c r="R42" i="91"/>
  <c r="H42" i="91"/>
  <c r="H63" i="91" s="1"/>
  <c r="R41" i="91"/>
  <c r="R40" i="91"/>
  <c r="R39" i="91"/>
  <c r="R38" i="91"/>
  <c r="H38" i="91"/>
  <c r="R37" i="91"/>
  <c r="H37" i="91"/>
  <c r="R36" i="91"/>
  <c r="H36" i="91"/>
  <c r="R35" i="91"/>
  <c r="H35" i="91"/>
  <c r="R34" i="91"/>
  <c r="H34" i="91"/>
  <c r="R33" i="91"/>
  <c r="H33" i="91"/>
  <c r="R32" i="91"/>
  <c r="H32" i="91"/>
  <c r="R31" i="91"/>
  <c r="H31" i="91"/>
  <c r="R30" i="91"/>
  <c r="H30" i="91"/>
  <c r="R29" i="91"/>
  <c r="H29" i="91"/>
  <c r="R28" i="91"/>
  <c r="H28" i="91"/>
  <c r="R27" i="91"/>
  <c r="H27" i="91"/>
  <c r="R26" i="91"/>
  <c r="H26" i="91"/>
  <c r="S25" i="91"/>
  <c r="D19" i="91" s="1"/>
  <c r="H20" i="35" s="1"/>
  <c r="A5" i="91"/>
  <c r="R125" i="90"/>
  <c r="R124" i="90"/>
  <c r="R123" i="90"/>
  <c r="R122" i="90"/>
  <c r="R121" i="90"/>
  <c r="R120" i="90"/>
  <c r="R119" i="90"/>
  <c r="R118" i="90"/>
  <c r="R117" i="90"/>
  <c r="R116" i="90"/>
  <c r="R115" i="90"/>
  <c r="R114" i="90"/>
  <c r="R113" i="90"/>
  <c r="R112" i="90"/>
  <c r="R111" i="90"/>
  <c r="R110" i="90"/>
  <c r="R109" i="90"/>
  <c r="R108" i="90"/>
  <c r="R107" i="90"/>
  <c r="R106" i="90"/>
  <c r="R105" i="90"/>
  <c r="R104" i="90"/>
  <c r="R103" i="90"/>
  <c r="R102" i="90"/>
  <c r="R101" i="90"/>
  <c r="R100" i="90"/>
  <c r="R99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H62" i="90"/>
  <c r="R61" i="90"/>
  <c r="H61" i="90"/>
  <c r="R60" i="90"/>
  <c r="H60" i="90"/>
  <c r="R59" i="90"/>
  <c r="H59" i="90"/>
  <c r="R58" i="90"/>
  <c r="H58" i="90"/>
  <c r="R57" i="90"/>
  <c r="H57" i="90"/>
  <c r="R56" i="90"/>
  <c r="H56" i="90"/>
  <c r="R55" i="90"/>
  <c r="H55" i="90"/>
  <c r="R54" i="90"/>
  <c r="H54" i="90"/>
  <c r="R53" i="90"/>
  <c r="H53" i="90"/>
  <c r="R52" i="90"/>
  <c r="H52" i="90"/>
  <c r="R51" i="90"/>
  <c r="H51" i="90"/>
  <c r="R50" i="90"/>
  <c r="H50" i="90"/>
  <c r="R49" i="90"/>
  <c r="H49" i="90"/>
  <c r="R48" i="90"/>
  <c r="H48" i="90"/>
  <c r="R47" i="90"/>
  <c r="H47" i="90"/>
  <c r="R46" i="90"/>
  <c r="H46" i="90"/>
  <c r="R45" i="90"/>
  <c r="H45" i="90"/>
  <c r="R44" i="90"/>
  <c r="H44" i="90"/>
  <c r="R43" i="90"/>
  <c r="H43" i="90"/>
  <c r="R42" i="90"/>
  <c r="H42" i="90"/>
  <c r="R41" i="90"/>
  <c r="R40" i="90"/>
  <c r="R39" i="90"/>
  <c r="R38" i="90"/>
  <c r="H38" i="90"/>
  <c r="R37" i="90"/>
  <c r="H37" i="90"/>
  <c r="R36" i="90"/>
  <c r="H36" i="90"/>
  <c r="R35" i="90"/>
  <c r="H35" i="90"/>
  <c r="R34" i="90"/>
  <c r="H34" i="90"/>
  <c r="R33" i="90"/>
  <c r="H33" i="90"/>
  <c r="R32" i="90"/>
  <c r="H32" i="90"/>
  <c r="R31" i="90"/>
  <c r="H31" i="90"/>
  <c r="R30" i="90"/>
  <c r="H30" i="90"/>
  <c r="R29" i="90"/>
  <c r="H29" i="90"/>
  <c r="R28" i="90"/>
  <c r="H28" i="90"/>
  <c r="R27" i="90"/>
  <c r="H27" i="90"/>
  <c r="R26" i="90"/>
  <c r="H26" i="90"/>
  <c r="S25" i="90"/>
  <c r="D19" i="90" s="1"/>
  <c r="H19" i="35" s="1"/>
  <c r="A5" i="90"/>
  <c r="R125" i="89"/>
  <c r="R124" i="89"/>
  <c r="R123" i="89"/>
  <c r="R122" i="89"/>
  <c r="R121" i="89"/>
  <c r="R120" i="89"/>
  <c r="R119" i="89"/>
  <c r="R118" i="89"/>
  <c r="R117" i="89"/>
  <c r="R116" i="89"/>
  <c r="R115" i="89"/>
  <c r="R114" i="89"/>
  <c r="R113" i="89"/>
  <c r="R112" i="89"/>
  <c r="R111" i="89"/>
  <c r="R110" i="89"/>
  <c r="R109" i="89"/>
  <c r="R108" i="89"/>
  <c r="R107" i="89"/>
  <c r="R106" i="89"/>
  <c r="R105" i="89"/>
  <c r="R104" i="89"/>
  <c r="R103" i="89"/>
  <c r="R102" i="89"/>
  <c r="R101" i="89"/>
  <c r="R100" i="89"/>
  <c r="R99" i="89"/>
  <c r="R98" i="89"/>
  <c r="R97" i="89"/>
  <c r="R96" i="89"/>
  <c r="R95" i="89"/>
  <c r="R94" i="89"/>
  <c r="R93" i="89"/>
  <c r="R92" i="89"/>
  <c r="R91" i="89"/>
  <c r="R90" i="89"/>
  <c r="R89" i="89"/>
  <c r="R88" i="89"/>
  <c r="R87" i="89"/>
  <c r="R86" i="89"/>
  <c r="R85" i="89"/>
  <c r="R84" i="89"/>
  <c r="R83" i="89"/>
  <c r="R82" i="89"/>
  <c r="R81" i="89"/>
  <c r="R80" i="89"/>
  <c r="R79" i="89"/>
  <c r="R78" i="89"/>
  <c r="R77" i="89"/>
  <c r="R76" i="89"/>
  <c r="R75" i="89"/>
  <c r="R74" i="89"/>
  <c r="R73" i="89"/>
  <c r="R72" i="89"/>
  <c r="R71" i="89"/>
  <c r="R70" i="89"/>
  <c r="R69" i="89"/>
  <c r="R68" i="89"/>
  <c r="R67" i="89"/>
  <c r="R66" i="89"/>
  <c r="R65" i="89"/>
  <c r="R64" i="89"/>
  <c r="R63" i="89"/>
  <c r="R62" i="89"/>
  <c r="H62" i="89"/>
  <c r="R61" i="89"/>
  <c r="H61" i="89"/>
  <c r="R60" i="89"/>
  <c r="H60" i="89"/>
  <c r="R59" i="89"/>
  <c r="H59" i="89"/>
  <c r="R58" i="89"/>
  <c r="H58" i="89"/>
  <c r="R57" i="89"/>
  <c r="H57" i="89"/>
  <c r="R56" i="89"/>
  <c r="H56" i="89"/>
  <c r="R55" i="89"/>
  <c r="H55" i="89"/>
  <c r="R54" i="89"/>
  <c r="H54" i="89"/>
  <c r="R53" i="89"/>
  <c r="H53" i="89"/>
  <c r="R52" i="89"/>
  <c r="H52" i="89"/>
  <c r="R51" i="89"/>
  <c r="H51" i="89"/>
  <c r="R50" i="89"/>
  <c r="H50" i="89"/>
  <c r="R49" i="89"/>
  <c r="H49" i="89"/>
  <c r="R48" i="89"/>
  <c r="H48" i="89"/>
  <c r="R47" i="89"/>
  <c r="H47" i="89"/>
  <c r="R46" i="89"/>
  <c r="H46" i="89"/>
  <c r="R45" i="89"/>
  <c r="H45" i="89"/>
  <c r="R44" i="89"/>
  <c r="H44" i="89"/>
  <c r="R43" i="89"/>
  <c r="H43" i="89"/>
  <c r="R42" i="89"/>
  <c r="H42" i="89"/>
  <c r="R41" i="89"/>
  <c r="R40" i="89"/>
  <c r="R39" i="89"/>
  <c r="R38" i="89"/>
  <c r="H38" i="89"/>
  <c r="R37" i="89"/>
  <c r="H37" i="89"/>
  <c r="R36" i="89"/>
  <c r="H36" i="89"/>
  <c r="R35" i="89"/>
  <c r="H35" i="89"/>
  <c r="R34" i="89"/>
  <c r="H34" i="89"/>
  <c r="R33" i="89"/>
  <c r="H33" i="89"/>
  <c r="R32" i="89"/>
  <c r="H32" i="89"/>
  <c r="R31" i="89"/>
  <c r="H31" i="89"/>
  <c r="R30" i="89"/>
  <c r="H30" i="89"/>
  <c r="R29" i="89"/>
  <c r="H29" i="89"/>
  <c r="R28" i="89"/>
  <c r="H28" i="89"/>
  <c r="R27" i="89"/>
  <c r="H27" i="89"/>
  <c r="R26" i="89"/>
  <c r="H26" i="89"/>
  <c r="S25" i="89"/>
  <c r="D19" i="89" s="1"/>
  <c r="H18" i="35" s="1"/>
  <c r="A5" i="89"/>
  <c r="R125" i="88"/>
  <c r="R124" i="88"/>
  <c r="R123" i="88"/>
  <c r="R122" i="88"/>
  <c r="R121" i="88"/>
  <c r="R120" i="88"/>
  <c r="R119" i="88"/>
  <c r="R118" i="88"/>
  <c r="R117" i="88"/>
  <c r="R116" i="88"/>
  <c r="R115" i="88"/>
  <c r="R114" i="88"/>
  <c r="R113" i="88"/>
  <c r="R112" i="88"/>
  <c r="R111" i="88"/>
  <c r="R110" i="88"/>
  <c r="R109" i="88"/>
  <c r="R108" i="88"/>
  <c r="R107" i="88"/>
  <c r="R106" i="88"/>
  <c r="R105" i="88"/>
  <c r="R104" i="88"/>
  <c r="R103" i="88"/>
  <c r="R102" i="88"/>
  <c r="R101" i="88"/>
  <c r="R100" i="88"/>
  <c r="R99" i="88"/>
  <c r="R98" i="88"/>
  <c r="R97" i="88"/>
  <c r="R96" i="88"/>
  <c r="R95" i="88"/>
  <c r="R94" i="88"/>
  <c r="R93" i="88"/>
  <c r="R92" i="88"/>
  <c r="R91" i="88"/>
  <c r="R90" i="88"/>
  <c r="R89" i="88"/>
  <c r="R88" i="88"/>
  <c r="R87" i="88"/>
  <c r="R86" i="88"/>
  <c r="R85" i="88"/>
  <c r="R84" i="88"/>
  <c r="R83" i="88"/>
  <c r="R82" i="88"/>
  <c r="R81" i="88"/>
  <c r="R80" i="88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H62" i="88"/>
  <c r="R61" i="88"/>
  <c r="H61" i="88"/>
  <c r="R60" i="88"/>
  <c r="H60" i="88"/>
  <c r="R59" i="88"/>
  <c r="H59" i="88"/>
  <c r="R58" i="88"/>
  <c r="H58" i="88"/>
  <c r="R57" i="88"/>
  <c r="H57" i="88"/>
  <c r="R56" i="88"/>
  <c r="H56" i="88"/>
  <c r="R55" i="88"/>
  <c r="H55" i="88"/>
  <c r="R54" i="88"/>
  <c r="H54" i="88"/>
  <c r="R53" i="88"/>
  <c r="H53" i="88"/>
  <c r="R52" i="88"/>
  <c r="H52" i="88"/>
  <c r="R51" i="88"/>
  <c r="H51" i="88"/>
  <c r="R50" i="88"/>
  <c r="H50" i="88"/>
  <c r="R49" i="88"/>
  <c r="H49" i="88"/>
  <c r="R48" i="88"/>
  <c r="H48" i="88"/>
  <c r="R47" i="88"/>
  <c r="H47" i="88"/>
  <c r="R46" i="88"/>
  <c r="H46" i="88"/>
  <c r="R45" i="88"/>
  <c r="H45" i="88"/>
  <c r="R44" i="88"/>
  <c r="H44" i="88"/>
  <c r="R43" i="88"/>
  <c r="H43" i="88"/>
  <c r="R42" i="88"/>
  <c r="H42" i="88"/>
  <c r="R41" i="88"/>
  <c r="R40" i="88"/>
  <c r="R39" i="88"/>
  <c r="R38" i="88"/>
  <c r="H38" i="88"/>
  <c r="R37" i="88"/>
  <c r="H37" i="88"/>
  <c r="R36" i="88"/>
  <c r="H36" i="88"/>
  <c r="R35" i="88"/>
  <c r="H35" i="88"/>
  <c r="R34" i="88"/>
  <c r="H34" i="88"/>
  <c r="R33" i="88"/>
  <c r="H33" i="88"/>
  <c r="R32" i="88"/>
  <c r="H32" i="88"/>
  <c r="R31" i="88"/>
  <c r="H31" i="88"/>
  <c r="R30" i="88"/>
  <c r="H30" i="88"/>
  <c r="R29" i="88"/>
  <c r="H29" i="88"/>
  <c r="R28" i="88"/>
  <c r="H28" i="88"/>
  <c r="R27" i="88"/>
  <c r="H27" i="88"/>
  <c r="R26" i="88"/>
  <c r="H26" i="88"/>
  <c r="S25" i="88"/>
  <c r="D19" i="88" s="1"/>
  <c r="H17" i="35" s="1"/>
  <c r="A5" i="88"/>
  <c r="R125" i="87"/>
  <c r="R124" i="87"/>
  <c r="R123" i="87"/>
  <c r="R122" i="87"/>
  <c r="R121" i="87"/>
  <c r="R120" i="87"/>
  <c r="R119" i="87"/>
  <c r="R118" i="87"/>
  <c r="R117" i="87"/>
  <c r="R116" i="87"/>
  <c r="R115" i="87"/>
  <c r="R114" i="87"/>
  <c r="R113" i="87"/>
  <c r="R112" i="87"/>
  <c r="R111" i="87"/>
  <c r="R110" i="87"/>
  <c r="R109" i="87"/>
  <c r="R108" i="87"/>
  <c r="R107" i="87"/>
  <c r="R106" i="87"/>
  <c r="R105" i="87"/>
  <c r="R104" i="87"/>
  <c r="R103" i="87"/>
  <c r="R102" i="87"/>
  <c r="R101" i="87"/>
  <c r="R100" i="87"/>
  <c r="R99" i="87"/>
  <c r="R98" i="87"/>
  <c r="R97" i="87"/>
  <c r="R96" i="87"/>
  <c r="R95" i="87"/>
  <c r="R94" i="87"/>
  <c r="R93" i="87"/>
  <c r="R92" i="87"/>
  <c r="R91" i="87"/>
  <c r="R90" i="87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H62" i="87"/>
  <c r="R61" i="87"/>
  <c r="H61" i="87"/>
  <c r="R60" i="87"/>
  <c r="H60" i="87"/>
  <c r="R59" i="87"/>
  <c r="H59" i="87"/>
  <c r="R58" i="87"/>
  <c r="H58" i="87"/>
  <c r="R57" i="87"/>
  <c r="H57" i="87"/>
  <c r="R56" i="87"/>
  <c r="H56" i="87"/>
  <c r="R55" i="87"/>
  <c r="H55" i="87"/>
  <c r="R54" i="87"/>
  <c r="H54" i="87"/>
  <c r="R53" i="87"/>
  <c r="H53" i="87"/>
  <c r="R52" i="87"/>
  <c r="H52" i="87"/>
  <c r="R51" i="87"/>
  <c r="H51" i="87"/>
  <c r="R50" i="87"/>
  <c r="H50" i="87"/>
  <c r="R49" i="87"/>
  <c r="H49" i="87"/>
  <c r="R48" i="87"/>
  <c r="H48" i="87"/>
  <c r="R47" i="87"/>
  <c r="H47" i="87"/>
  <c r="R46" i="87"/>
  <c r="H46" i="87"/>
  <c r="R45" i="87"/>
  <c r="H45" i="87"/>
  <c r="R44" i="87"/>
  <c r="H44" i="87"/>
  <c r="R43" i="87"/>
  <c r="H43" i="87"/>
  <c r="R42" i="87"/>
  <c r="H42" i="87"/>
  <c r="R41" i="87"/>
  <c r="R40" i="87"/>
  <c r="R39" i="87"/>
  <c r="R38" i="87"/>
  <c r="H38" i="87"/>
  <c r="R37" i="87"/>
  <c r="H37" i="87"/>
  <c r="R36" i="87"/>
  <c r="H36" i="87"/>
  <c r="R35" i="87"/>
  <c r="H35" i="87"/>
  <c r="R34" i="87"/>
  <c r="H34" i="87"/>
  <c r="R33" i="87"/>
  <c r="H33" i="87"/>
  <c r="R32" i="87"/>
  <c r="H32" i="87"/>
  <c r="R31" i="87"/>
  <c r="H31" i="87"/>
  <c r="R30" i="87"/>
  <c r="H30" i="87"/>
  <c r="R29" i="87"/>
  <c r="H29" i="87"/>
  <c r="R28" i="87"/>
  <c r="H28" i="87"/>
  <c r="R27" i="87"/>
  <c r="H27" i="87"/>
  <c r="R26" i="87"/>
  <c r="H26" i="87"/>
  <c r="S25" i="87"/>
  <c r="D19" i="87" s="1"/>
  <c r="H16" i="35" s="1"/>
  <c r="A5" i="87"/>
  <c r="R125" i="86"/>
  <c r="R124" i="86"/>
  <c r="R123" i="86"/>
  <c r="R122" i="86"/>
  <c r="R121" i="86"/>
  <c r="R120" i="86"/>
  <c r="R119" i="86"/>
  <c r="R118" i="86"/>
  <c r="R117" i="86"/>
  <c r="R116" i="86"/>
  <c r="R115" i="86"/>
  <c r="R114" i="86"/>
  <c r="R113" i="86"/>
  <c r="R112" i="86"/>
  <c r="R111" i="86"/>
  <c r="R110" i="86"/>
  <c r="R109" i="86"/>
  <c r="R108" i="86"/>
  <c r="R107" i="86"/>
  <c r="R106" i="86"/>
  <c r="R105" i="86"/>
  <c r="R104" i="86"/>
  <c r="R103" i="86"/>
  <c r="R102" i="86"/>
  <c r="R101" i="86"/>
  <c r="R100" i="86"/>
  <c r="R99" i="86"/>
  <c r="R98" i="86"/>
  <c r="R97" i="86"/>
  <c r="R96" i="86"/>
  <c r="R95" i="86"/>
  <c r="R94" i="86"/>
  <c r="R93" i="86"/>
  <c r="R92" i="86"/>
  <c r="R91" i="86"/>
  <c r="R90" i="86"/>
  <c r="R89" i="86"/>
  <c r="R88" i="86"/>
  <c r="R87" i="86"/>
  <c r="R86" i="86"/>
  <c r="R85" i="86"/>
  <c r="R84" i="86"/>
  <c r="R83" i="86"/>
  <c r="R82" i="86"/>
  <c r="R81" i="86"/>
  <c r="R80" i="86"/>
  <c r="R79" i="86"/>
  <c r="R78" i="86"/>
  <c r="R77" i="86"/>
  <c r="R76" i="86"/>
  <c r="R75" i="86"/>
  <c r="R74" i="86"/>
  <c r="R73" i="86"/>
  <c r="R72" i="86"/>
  <c r="R71" i="86"/>
  <c r="R70" i="86"/>
  <c r="R69" i="86"/>
  <c r="R68" i="86"/>
  <c r="R67" i="86"/>
  <c r="R66" i="86"/>
  <c r="R65" i="86"/>
  <c r="R64" i="86"/>
  <c r="R63" i="86"/>
  <c r="R62" i="86"/>
  <c r="H62" i="86"/>
  <c r="R61" i="86"/>
  <c r="H61" i="86"/>
  <c r="R60" i="86"/>
  <c r="H60" i="86"/>
  <c r="R59" i="86"/>
  <c r="H59" i="86"/>
  <c r="R58" i="86"/>
  <c r="H58" i="86"/>
  <c r="R57" i="86"/>
  <c r="H57" i="86"/>
  <c r="R56" i="86"/>
  <c r="H56" i="86"/>
  <c r="R55" i="86"/>
  <c r="H55" i="86"/>
  <c r="R54" i="86"/>
  <c r="H54" i="86"/>
  <c r="R53" i="86"/>
  <c r="H53" i="86"/>
  <c r="R52" i="86"/>
  <c r="H52" i="86"/>
  <c r="R51" i="86"/>
  <c r="H51" i="86"/>
  <c r="R50" i="86"/>
  <c r="H50" i="86"/>
  <c r="R49" i="86"/>
  <c r="H49" i="86"/>
  <c r="R48" i="86"/>
  <c r="H48" i="86"/>
  <c r="R47" i="86"/>
  <c r="H47" i="86"/>
  <c r="R46" i="86"/>
  <c r="H46" i="86"/>
  <c r="R45" i="86"/>
  <c r="H45" i="86"/>
  <c r="R44" i="86"/>
  <c r="H44" i="86"/>
  <c r="R43" i="86"/>
  <c r="H43" i="86"/>
  <c r="R42" i="86"/>
  <c r="H42" i="86"/>
  <c r="R41" i="86"/>
  <c r="R40" i="86"/>
  <c r="R39" i="86"/>
  <c r="R38" i="86"/>
  <c r="H38" i="86"/>
  <c r="R37" i="86"/>
  <c r="H37" i="86"/>
  <c r="R36" i="86"/>
  <c r="H36" i="86"/>
  <c r="R35" i="86"/>
  <c r="H35" i="86"/>
  <c r="R34" i="86"/>
  <c r="H34" i="86"/>
  <c r="R33" i="86"/>
  <c r="H33" i="86"/>
  <c r="R32" i="86"/>
  <c r="H32" i="86"/>
  <c r="R31" i="86"/>
  <c r="H31" i="86"/>
  <c r="R30" i="86"/>
  <c r="H30" i="86"/>
  <c r="R29" i="86"/>
  <c r="H29" i="86"/>
  <c r="R28" i="86"/>
  <c r="H28" i="86"/>
  <c r="R27" i="86"/>
  <c r="H27" i="86"/>
  <c r="R26" i="86"/>
  <c r="H26" i="86"/>
  <c r="S25" i="86"/>
  <c r="D19" i="86" s="1"/>
  <c r="H15" i="35" s="1"/>
  <c r="A5" i="86"/>
  <c r="R125" i="85"/>
  <c r="R124" i="85"/>
  <c r="R123" i="85"/>
  <c r="R122" i="85"/>
  <c r="R121" i="85"/>
  <c r="R120" i="85"/>
  <c r="R119" i="85"/>
  <c r="R118" i="85"/>
  <c r="R117" i="85"/>
  <c r="R116" i="85"/>
  <c r="R115" i="85"/>
  <c r="R114" i="85"/>
  <c r="R113" i="85"/>
  <c r="R112" i="85"/>
  <c r="R111" i="85"/>
  <c r="R110" i="85"/>
  <c r="R109" i="85"/>
  <c r="R108" i="85"/>
  <c r="R107" i="85"/>
  <c r="R106" i="85"/>
  <c r="R105" i="85"/>
  <c r="R104" i="85"/>
  <c r="R103" i="85"/>
  <c r="R102" i="85"/>
  <c r="R101" i="85"/>
  <c r="R100" i="85"/>
  <c r="R99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H62" i="85"/>
  <c r="R61" i="85"/>
  <c r="H61" i="85"/>
  <c r="R60" i="85"/>
  <c r="H60" i="85"/>
  <c r="R59" i="85"/>
  <c r="H59" i="85"/>
  <c r="R58" i="85"/>
  <c r="H58" i="85"/>
  <c r="R57" i="85"/>
  <c r="H57" i="85"/>
  <c r="R56" i="85"/>
  <c r="H56" i="85"/>
  <c r="R55" i="85"/>
  <c r="H55" i="85"/>
  <c r="R54" i="85"/>
  <c r="H54" i="85"/>
  <c r="R53" i="85"/>
  <c r="H53" i="85"/>
  <c r="R52" i="85"/>
  <c r="H52" i="85"/>
  <c r="R51" i="85"/>
  <c r="H51" i="85"/>
  <c r="R50" i="85"/>
  <c r="H50" i="85"/>
  <c r="R49" i="85"/>
  <c r="H49" i="85"/>
  <c r="R48" i="85"/>
  <c r="H48" i="85"/>
  <c r="R47" i="85"/>
  <c r="H47" i="85"/>
  <c r="R46" i="85"/>
  <c r="H46" i="85"/>
  <c r="R45" i="85"/>
  <c r="H45" i="85"/>
  <c r="R44" i="85"/>
  <c r="H44" i="85"/>
  <c r="R43" i="85"/>
  <c r="H43" i="85"/>
  <c r="R42" i="85"/>
  <c r="H42" i="85"/>
  <c r="R41" i="85"/>
  <c r="R40" i="85"/>
  <c r="R39" i="85"/>
  <c r="R38" i="85"/>
  <c r="H38" i="85"/>
  <c r="R37" i="85"/>
  <c r="H37" i="85"/>
  <c r="R36" i="85"/>
  <c r="H36" i="85"/>
  <c r="R35" i="85"/>
  <c r="H35" i="85"/>
  <c r="R34" i="85"/>
  <c r="H34" i="85"/>
  <c r="R33" i="85"/>
  <c r="H33" i="85"/>
  <c r="R32" i="85"/>
  <c r="H32" i="85"/>
  <c r="R31" i="85"/>
  <c r="H31" i="85"/>
  <c r="R30" i="85"/>
  <c r="H30" i="85"/>
  <c r="R29" i="85"/>
  <c r="H29" i="85"/>
  <c r="R28" i="85"/>
  <c r="H28" i="85"/>
  <c r="R27" i="85"/>
  <c r="H27" i="85"/>
  <c r="R26" i="85"/>
  <c r="H26" i="85"/>
  <c r="S25" i="85"/>
  <c r="D19" i="85" s="1"/>
  <c r="H14" i="35" s="1"/>
  <c r="A5" i="85"/>
  <c r="R125" i="84"/>
  <c r="R124" i="84"/>
  <c r="R123" i="84"/>
  <c r="R122" i="84"/>
  <c r="R121" i="84"/>
  <c r="R120" i="84"/>
  <c r="R119" i="84"/>
  <c r="R118" i="84"/>
  <c r="R117" i="84"/>
  <c r="R116" i="84"/>
  <c r="R115" i="84"/>
  <c r="R114" i="84"/>
  <c r="R113" i="84"/>
  <c r="R112" i="84"/>
  <c r="R111" i="84"/>
  <c r="R110" i="84"/>
  <c r="R109" i="84"/>
  <c r="R108" i="84"/>
  <c r="R107" i="84"/>
  <c r="R106" i="84"/>
  <c r="R105" i="84"/>
  <c r="R104" i="84"/>
  <c r="R103" i="84"/>
  <c r="R102" i="84"/>
  <c r="R101" i="84"/>
  <c r="R100" i="84"/>
  <c r="R99" i="84"/>
  <c r="R98" i="84"/>
  <c r="R97" i="84"/>
  <c r="R96" i="84"/>
  <c r="R95" i="84"/>
  <c r="R94" i="84"/>
  <c r="R93" i="84"/>
  <c r="R92" i="84"/>
  <c r="R91" i="84"/>
  <c r="R90" i="84"/>
  <c r="R89" i="84"/>
  <c r="R88" i="84"/>
  <c r="R87" i="84"/>
  <c r="R86" i="84"/>
  <c r="R85" i="84"/>
  <c r="R84" i="84"/>
  <c r="R83" i="84"/>
  <c r="R82" i="84"/>
  <c r="R81" i="84"/>
  <c r="R80" i="84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H62" i="84"/>
  <c r="R61" i="84"/>
  <c r="H61" i="84"/>
  <c r="R60" i="84"/>
  <c r="H60" i="84"/>
  <c r="R59" i="84"/>
  <c r="H59" i="84"/>
  <c r="R58" i="84"/>
  <c r="H58" i="84"/>
  <c r="R57" i="84"/>
  <c r="H57" i="84"/>
  <c r="R56" i="84"/>
  <c r="H56" i="84"/>
  <c r="R55" i="84"/>
  <c r="H55" i="84"/>
  <c r="R54" i="84"/>
  <c r="H54" i="84"/>
  <c r="R53" i="84"/>
  <c r="H53" i="84"/>
  <c r="R52" i="84"/>
  <c r="H52" i="84"/>
  <c r="R51" i="84"/>
  <c r="H51" i="84"/>
  <c r="R50" i="84"/>
  <c r="H50" i="84"/>
  <c r="R49" i="84"/>
  <c r="H49" i="84"/>
  <c r="R48" i="84"/>
  <c r="H48" i="84"/>
  <c r="R47" i="84"/>
  <c r="H47" i="84"/>
  <c r="R46" i="84"/>
  <c r="H46" i="84"/>
  <c r="R45" i="84"/>
  <c r="H45" i="84"/>
  <c r="R44" i="84"/>
  <c r="H44" i="84"/>
  <c r="R43" i="84"/>
  <c r="H43" i="84"/>
  <c r="R42" i="84"/>
  <c r="H42" i="84"/>
  <c r="R41" i="84"/>
  <c r="R40" i="84"/>
  <c r="R39" i="84"/>
  <c r="R38" i="84"/>
  <c r="H38" i="84"/>
  <c r="R37" i="84"/>
  <c r="H37" i="84"/>
  <c r="R36" i="84"/>
  <c r="H36" i="84"/>
  <c r="R35" i="84"/>
  <c r="H35" i="84"/>
  <c r="R34" i="84"/>
  <c r="H34" i="84"/>
  <c r="R33" i="84"/>
  <c r="H33" i="84"/>
  <c r="R32" i="84"/>
  <c r="H32" i="84"/>
  <c r="R31" i="84"/>
  <c r="H31" i="84"/>
  <c r="R30" i="84"/>
  <c r="H30" i="84"/>
  <c r="R29" i="84"/>
  <c r="H29" i="84"/>
  <c r="R28" i="84"/>
  <c r="H28" i="84"/>
  <c r="R27" i="84"/>
  <c r="H27" i="84"/>
  <c r="R26" i="84"/>
  <c r="H26" i="84"/>
  <c r="S25" i="84"/>
  <c r="D19" i="84" s="1"/>
  <c r="H13" i="35" s="1"/>
  <c r="A5" i="84"/>
  <c r="R125" i="82"/>
  <c r="R124" i="82"/>
  <c r="R123" i="82"/>
  <c r="R122" i="82"/>
  <c r="R121" i="82"/>
  <c r="R120" i="82"/>
  <c r="R119" i="82"/>
  <c r="R118" i="82"/>
  <c r="R117" i="82"/>
  <c r="R116" i="82"/>
  <c r="R115" i="82"/>
  <c r="R114" i="82"/>
  <c r="R113" i="82"/>
  <c r="R112" i="82"/>
  <c r="R111" i="82"/>
  <c r="R110" i="82"/>
  <c r="R109" i="82"/>
  <c r="R108" i="82"/>
  <c r="R107" i="82"/>
  <c r="R106" i="82"/>
  <c r="R105" i="82"/>
  <c r="R104" i="82"/>
  <c r="R103" i="82"/>
  <c r="R102" i="82"/>
  <c r="R101" i="82"/>
  <c r="R100" i="82"/>
  <c r="R99" i="82"/>
  <c r="R98" i="82"/>
  <c r="R97" i="82"/>
  <c r="R96" i="82"/>
  <c r="R95" i="82"/>
  <c r="R94" i="82"/>
  <c r="R93" i="82"/>
  <c r="R92" i="82"/>
  <c r="R91" i="82"/>
  <c r="R90" i="82"/>
  <c r="R89" i="82"/>
  <c r="R88" i="82"/>
  <c r="R87" i="82"/>
  <c r="R86" i="82"/>
  <c r="R85" i="82"/>
  <c r="R84" i="82"/>
  <c r="R83" i="82"/>
  <c r="R82" i="82"/>
  <c r="R81" i="82"/>
  <c r="R80" i="82"/>
  <c r="R79" i="82"/>
  <c r="R78" i="82"/>
  <c r="R77" i="82"/>
  <c r="R76" i="82"/>
  <c r="R75" i="82"/>
  <c r="R74" i="82"/>
  <c r="R73" i="82"/>
  <c r="R72" i="82"/>
  <c r="R71" i="82"/>
  <c r="R70" i="82"/>
  <c r="R69" i="82"/>
  <c r="R68" i="82"/>
  <c r="R67" i="82"/>
  <c r="R66" i="82"/>
  <c r="R65" i="82"/>
  <c r="R64" i="82"/>
  <c r="R63" i="82"/>
  <c r="R62" i="82"/>
  <c r="H62" i="82"/>
  <c r="R61" i="82"/>
  <c r="H61" i="82"/>
  <c r="R60" i="82"/>
  <c r="H60" i="82"/>
  <c r="R59" i="82"/>
  <c r="H59" i="82"/>
  <c r="R58" i="82"/>
  <c r="H58" i="82"/>
  <c r="R57" i="82"/>
  <c r="H57" i="82"/>
  <c r="R56" i="82"/>
  <c r="H56" i="82"/>
  <c r="R55" i="82"/>
  <c r="H55" i="82"/>
  <c r="R54" i="82"/>
  <c r="H54" i="82"/>
  <c r="R53" i="82"/>
  <c r="H53" i="82"/>
  <c r="R52" i="82"/>
  <c r="H52" i="82"/>
  <c r="R51" i="82"/>
  <c r="H51" i="82"/>
  <c r="R50" i="82"/>
  <c r="H50" i="82"/>
  <c r="R49" i="82"/>
  <c r="H49" i="82"/>
  <c r="R48" i="82"/>
  <c r="H48" i="82"/>
  <c r="R47" i="82"/>
  <c r="H47" i="82"/>
  <c r="R46" i="82"/>
  <c r="H46" i="82"/>
  <c r="R45" i="82"/>
  <c r="H45" i="82"/>
  <c r="R44" i="82"/>
  <c r="H44" i="82"/>
  <c r="R43" i="82"/>
  <c r="H43" i="82"/>
  <c r="R42" i="82"/>
  <c r="H42" i="82"/>
  <c r="R41" i="82"/>
  <c r="R40" i="82"/>
  <c r="R39" i="82"/>
  <c r="R38" i="82"/>
  <c r="H38" i="82"/>
  <c r="R37" i="82"/>
  <c r="H37" i="82"/>
  <c r="R36" i="82"/>
  <c r="H36" i="82"/>
  <c r="R35" i="82"/>
  <c r="H35" i="82"/>
  <c r="R34" i="82"/>
  <c r="H34" i="82"/>
  <c r="R33" i="82"/>
  <c r="H33" i="82"/>
  <c r="R32" i="82"/>
  <c r="H32" i="82"/>
  <c r="R31" i="82"/>
  <c r="H31" i="82"/>
  <c r="R30" i="82"/>
  <c r="H30" i="82"/>
  <c r="R29" i="82"/>
  <c r="H29" i="82"/>
  <c r="R28" i="82"/>
  <c r="H28" i="82"/>
  <c r="R27" i="82"/>
  <c r="H27" i="82"/>
  <c r="R26" i="82"/>
  <c r="H26" i="82"/>
  <c r="S25" i="82"/>
  <c r="D19" i="82" s="1"/>
  <c r="H11" i="35" s="1"/>
  <c r="A5" i="82"/>
  <c r="H38" i="1"/>
  <c r="H52" i="1"/>
  <c r="H53" i="1"/>
  <c r="H54" i="1"/>
  <c r="H55" i="1"/>
  <c r="H56" i="1"/>
  <c r="H57" i="1"/>
  <c r="H58" i="1"/>
  <c r="H59" i="1"/>
  <c r="H60" i="1"/>
  <c r="H61" i="1"/>
  <c r="H62" i="1"/>
  <c r="H63" i="90" l="1"/>
  <c r="H39" i="100"/>
  <c r="H39" i="111"/>
  <c r="R25" i="109"/>
  <c r="K17" i="109" s="1"/>
  <c r="C38" i="35" s="1"/>
  <c r="R25" i="106"/>
  <c r="K17" i="106" s="1"/>
  <c r="C35" i="35" s="1"/>
  <c r="H63" i="106"/>
  <c r="H39" i="85"/>
  <c r="R25" i="90"/>
  <c r="K17" i="90" s="1"/>
  <c r="C19" i="35" s="1"/>
  <c r="H39" i="89"/>
  <c r="R25" i="95"/>
  <c r="K17" i="95" s="1"/>
  <c r="C24" i="35" s="1"/>
  <c r="R25" i="98"/>
  <c r="K17" i="98" s="1"/>
  <c r="C27" i="35" s="1"/>
  <c r="H63" i="98"/>
  <c r="H39" i="105"/>
  <c r="R25" i="84"/>
  <c r="K17" i="84" s="1"/>
  <c r="C13" i="35" s="1"/>
  <c r="R25" i="87"/>
  <c r="K17" i="87" s="1"/>
  <c r="C16" i="35" s="1"/>
  <c r="H63" i="87"/>
  <c r="H39" i="91"/>
  <c r="H39" i="92"/>
  <c r="R25" i="102"/>
  <c r="K17" i="102" s="1"/>
  <c r="C31" i="35" s="1"/>
  <c r="H63" i="102"/>
  <c r="R25" i="104"/>
  <c r="K17" i="104" s="1"/>
  <c r="C33" i="35" s="1"/>
  <c r="R25" i="107"/>
  <c r="K17" i="107" s="1"/>
  <c r="C36" i="35" s="1"/>
  <c r="R25" i="100"/>
  <c r="K17" i="100" s="1"/>
  <c r="C29" i="35" s="1"/>
  <c r="R25" i="86"/>
  <c r="K17" i="86" s="1"/>
  <c r="C15" i="35" s="1"/>
  <c r="H63" i="86"/>
  <c r="R25" i="88"/>
  <c r="K17" i="88" s="1"/>
  <c r="C17" i="35" s="1"/>
  <c r="R25" i="97"/>
  <c r="K17" i="97" s="1"/>
  <c r="C26" i="35" s="1"/>
  <c r="H63" i="97"/>
  <c r="R25" i="99"/>
  <c r="K17" i="99" s="1"/>
  <c r="C28" i="35" s="1"/>
  <c r="H39" i="104"/>
  <c r="R25" i="105"/>
  <c r="K17" i="105" s="1"/>
  <c r="C34" i="35" s="1"/>
  <c r="H63" i="105"/>
  <c r="D17" i="105" s="1"/>
  <c r="I34" i="35" s="1"/>
  <c r="H63" i="107"/>
  <c r="R25" i="110"/>
  <c r="K17" i="110" s="1"/>
  <c r="C39" i="35" s="1"/>
  <c r="R25" i="111"/>
  <c r="K17" i="111" s="1"/>
  <c r="C12" i="35" s="1"/>
  <c r="H63" i="82"/>
  <c r="R25" i="85"/>
  <c r="K17" i="85" s="1"/>
  <c r="C14" i="35" s="1"/>
  <c r="H39" i="86"/>
  <c r="D17" i="86" s="1"/>
  <c r="I15" i="35" s="1"/>
  <c r="J15" i="35" s="1"/>
  <c r="R25" i="89"/>
  <c r="K17" i="89" s="1"/>
  <c r="C18" i="35" s="1"/>
  <c r="H63" i="89"/>
  <c r="H63" i="94"/>
  <c r="R25" i="96"/>
  <c r="K17" i="96" s="1"/>
  <c r="C25" i="35" s="1"/>
  <c r="H39" i="97"/>
  <c r="R25" i="101"/>
  <c r="K17" i="101" s="1"/>
  <c r="C30" i="35" s="1"/>
  <c r="H63" i="101"/>
  <c r="D17" i="101" s="1"/>
  <c r="I30" i="35" s="1"/>
  <c r="R25" i="103"/>
  <c r="K17" i="103" s="1"/>
  <c r="C32" i="35" s="1"/>
  <c r="R25" i="108"/>
  <c r="K17" i="108" s="1"/>
  <c r="C37" i="35" s="1"/>
  <c r="H63" i="108"/>
  <c r="H39" i="110"/>
  <c r="R25" i="82"/>
  <c r="K17" i="82" s="1"/>
  <c r="C11" i="35" s="1"/>
  <c r="H39" i="96"/>
  <c r="H39" i="84"/>
  <c r="H63" i="85"/>
  <c r="H39" i="82"/>
  <c r="H63" i="84"/>
  <c r="H39" i="87"/>
  <c r="D17" i="87" s="1"/>
  <c r="I16" i="35" s="1"/>
  <c r="J16" i="35" s="1"/>
  <c r="H63" i="88"/>
  <c r="H39" i="90"/>
  <c r="D17" i="90" s="1"/>
  <c r="I19" i="35" s="1"/>
  <c r="J19" i="35" s="1"/>
  <c r="R25" i="93"/>
  <c r="K17" i="93" s="1"/>
  <c r="C22" i="35" s="1"/>
  <c r="H63" i="93"/>
  <c r="H39" i="94"/>
  <c r="H63" i="95"/>
  <c r="H39" i="98"/>
  <c r="H63" i="99"/>
  <c r="H39" i="102"/>
  <c r="H63" i="103"/>
  <c r="H39" i="106"/>
  <c r="D17" i="106" s="1"/>
  <c r="I35" i="35" s="1"/>
  <c r="D17" i="91"/>
  <c r="I20" i="35" s="1"/>
  <c r="J20" i="35" s="1"/>
  <c r="R25" i="94"/>
  <c r="K17" i="94" s="1"/>
  <c r="C23" i="35" s="1"/>
  <c r="H39" i="109"/>
  <c r="H63" i="110"/>
  <c r="D17" i="110" s="1"/>
  <c r="I39" i="35" s="1"/>
  <c r="H63" i="111"/>
  <c r="D17" i="111" s="1"/>
  <c r="I12" i="35" s="1"/>
  <c r="J12" i="35" s="1"/>
  <c r="H39" i="108"/>
  <c r="H63" i="109"/>
  <c r="H39" i="88"/>
  <c r="R25" i="91"/>
  <c r="K17" i="91" s="1"/>
  <c r="C20" i="35" s="1"/>
  <c r="R25" i="92"/>
  <c r="K17" i="92" s="1"/>
  <c r="C21" i="35" s="1"/>
  <c r="H63" i="92"/>
  <c r="D17" i="92" s="1"/>
  <c r="I21" i="35" s="1"/>
  <c r="J21" i="35" s="1"/>
  <c r="H39" i="93"/>
  <c r="H39" i="95"/>
  <c r="H63" i="96"/>
  <c r="H39" i="99"/>
  <c r="H63" i="100"/>
  <c r="D17" i="100" s="1"/>
  <c r="I29" i="35" s="1"/>
  <c r="H39" i="103"/>
  <c r="H63" i="104"/>
  <c r="H39" i="107"/>
  <c r="D17" i="107" s="1"/>
  <c r="I36" i="35" s="1"/>
  <c r="D17" i="85"/>
  <c r="I14" i="35" s="1"/>
  <c r="J14" i="35" s="1"/>
  <c r="H32" i="1"/>
  <c r="H33" i="1"/>
  <c r="H34" i="1"/>
  <c r="H35" i="1"/>
  <c r="H36" i="1"/>
  <c r="H37" i="1"/>
  <c r="R125" i="1"/>
  <c r="R27" i="1"/>
  <c r="R28" i="1"/>
  <c r="R29" i="1"/>
  <c r="R30" i="1"/>
  <c r="R31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26" i="1"/>
  <c r="D17" i="93" l="1"/>
  <c r="I22" i="35" s="1"/>
  <c r="D17" i="99"/>
  <c r="I28" i="35" s="1"/>
  <c r="D17" i="89"/>
  <c r="I18" i="35" s="1"/>
  <c r="J18" i="35" s="1"/>
  <c r="D17" i="97"/>
  <c r="I26" i="35" s="1"/>
  <c r="D17" i="95"/>
  <c r="I24" i="35" s="1"/>
  <c r="D17" i="108"/>
  <c r="I37" i="35" s="1"/>
  <c r="D17" i="94"/>
  <c r="I23" i="35" s="1"/>
  <c r="D17" i="82"/>
  <c r="I11" i="35" s="1"/>
  <c r="J11" i="35" s="1"/>
  <c r="D17" i="104"/>
  <c r="I33" i="35" s="1"/>
  <c r="D17" i="98"/>
  <c r="I27" i="35" s="1"/>
  <c r="D17" i="102"/>
  <c r="I31" i="35" s="1"/>
  <c r="D17" i="109"/>
  <c r="I38" i="35" s="1"/>
  <c r="D17" i="103"/>
  <c r="I32" i="35" s="1"/>
  <c r="D17" i="96"/>
  <c r="I25" i="35" s="1"/>
  <c r="D17" i="88"/>
  <c r="I17" i="35" s="1"/>
  <c r="J17" i="35" s="1"/>
  <c r="D17" i="84"/>
  <c r="I13" i="35" s="1"/>
  <c r="J13" i="35" s="1"/>
  <c r="R25" i="1"/>
  <c r="K17" i="1" s="1"/>
  <c r="C10" i="35" s="1"/>
  <c r="H44" i="1" l="1"/>
  <c r="H43" i="1"/>
  <c r="H45" i="1"/>
  <c r="H46" i="1"/>
  <c r="H47" i="1"/>
  <c r="H48" i="1"/>
  <c r="H49" i="1"/>
  <c r="H50" i="1"/>
  <c r="H51" i="1"/>
  <c r="H42" i="1"/>
  <c r="H63" i="1" l="1"/>
  <c r="H27" i="1"/>
  <c r="H28" i="1"/>
  <c r="H29" i="1"/>
  <c r="H30" i="1"/>
  <c r="H31" i="1"/>
  <c r="H26" i="1" l="1"/>
  <c r="H39" i="1" s="1"/>
  <c r="D17" i="1" s="1"/>
  <c r="I10" i="35" s="1"/>
  <c r="J22" i="35" l="1"/>
  <c r="J23" i="35"/>
  <c r="J26" i="35"/>
  <c r="J27" i="35"/>
  <c r="J30" i="35"/>
  <c r="J31" i="35"/>
  <c r="J34" i="35"/>
  <c r="J35" i="35"/>
  <c r="J38" i="35"/>
  <c r="J39" i="35"/>
  <c r="J24" i="35"/>
  <c r="J25" i="35"/>
  <c r="J28" i="35"/>
  <c r="J29" i="35"/>
  <c r="J32" i="35"/>
  <c r="J33" i="35"/>
  <c r="J36" i="35"/>
  <c r="J37" i="35"/>
  <c r="A5" i="1"/>
  <c r="S25" i="1" l="1"/>
  <c r="D19" i="1" s="1"/>
  <c r="H10" i="35" s="1"/>
  <c r="H8" i="35" l="1"/>
  <c r="I8" i="35" l="1"/>
  <c r="J10" i="35"/>
  <c r="K10" i="35" s="1"/>
  <c r="K11" i="35" s="1"/>
  <c r="K12" i="35" l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J8" i="35"/>
</calcChain>
</file>

<file path=xl/sharedStrings.xml><?xml version="1.0" encoding="utf-8"?>
<sst xmlns="http://schemas.openxmlformats.org/spreadsheetml/2006/main" count="898" uniqueCount="83">
  <si>
    <t>Trip details:</t>
  </si>
  <si>
    <t>Title</t>
  </si>
  <si>
    <t>Location:</t>
  </si>
  <si>
    <t>Organizer:</t>
  </si>
  <si>
    <t>Qty</t>
  </si>
  <si>
    <t>Total</t>
  </si>
  <si>
    <t>Trip Attenden Names</t>
  </si>
  <si>
    <t>Number of people going</t>
  </si>
  <si>
    <t>Cost</t>
  </si>
  <si>
    <t>Caving Hut</t>
  </si>
  <si>
    <t>Notes</t>
  </si>
  <si>
    <t>Date/s:</t>
  </si>
  <si>
    <t>Trip Name:</t>
  </si>
  <si>
    <t>Qty.</t>
  </si>
  <si>
    <t>Transport</t>
  </si>
  <si>
    <t xml:space="preserve">      Days:</t>
  </si>
  <si>
    <t>Other Expenses</t>
  </si>
  <si>
    <t>No.</t>
  </si>
  <si>
    <t>Trip 1</t>
  </si>
  <si>
    <t>Trip 2</t>
  </si>
  <si>
    <t>Trip 3</t>
  </si>
  <si>
    <t>Trip 4</t>
  </si>
  <si>
    <t>Trip 5</t>
  </si>
  <si>
    <t>Trip 6</t>
  </si>
  <si>
    <t>Trip 7</t>
  </si>
  <si>
    <t>Trip 8</t>
  </si>
  <si>
    <t>Trip 9</t>
  </si>
  <si>
    <t>Trip 10</t>
  </si>
  <si>
    <t>Trip 11</t>
  </si>
  <si>
    <t>Trip 12</t>
  </si>
  <si>
    <t>Trip 13</t>
  </si>
  <si>
    <t>Trip 14</t>
  </si>
  <si>
    <t>Trip 15</t>
  </si>
  <si>
    <t>Trip 16</t>
  </si>
  <si>
    <t>Trip 17</t>
  </si>
  <si>
    <t>Trip 18</t>
  </si>
  <si>
    <t>Trip 19</t>
  </si>
  <si>
    <t>Trip 20</t>
  </si>
  <si>
    <t>Summary Page</t>
  </si>
  <si>
    <t>Links</t>
  </si>
  <si>
    <t>Members Attending</t>
  </si>
  <si>
    <t>Trip Name</t>
  </si>
  <si>
    <t>Date</t>
  </si>
  <si>
    <t>Trip Expenditure</t>
  </si>
  <si>
    <t>University of Leeds Speleological Association</t>
  </si>
  <si>
    <t>-</t>
  </si>
  <si>
    <t>Trip Revenue</t>
  </si>
  <si>
    <t>Leeds University Union Caving Society</t>
  </si>
  <si>
    <t xml:space="preserve">Running Total </t>
  </si>
  <si>
    <t>Trip cost per person</t>
  </si>
  <si>
    <t>Trip Expenses</t>
  </si>
  <si>
    <t>No. of people going</t>
  </si>
  <si>
    <t>Trip 21</t>
  </si>
  <si>
    <t>Trip 22</t>
  </si>
  <si>
    <t>Trip 23</t>
  </si>
  <si>
    <t>Trip 24</t>
  </si>
  <si>
    <t>Trip 25</t>
  </si>
  <si>
    <t>Trip 26</t>
  </si>
  <si>
    <t>Trip 27</t>
  </si>
  <si>
    <t>Trip 28</t>
  </si>
  <si>
    <t>Trip 29</t>
  </si>
  <si>
    <t>Trip 30</t>
  </si>
  <si>
    <t>Estimated Trip Income</t>
  </si>
  <si>
    <t xml:space="preserve">  Notes</t>
  </si>
  <si>
    <t xml:space="preserve"> Notes</t>
  </si>
  <si>
    <t xml:space="preserve">   Profit/ loss for trip</t>
  </si>
  <si>
    <t>Bar Pot</t>
  </si>
  <si>
    <t>Hire car</t>
  </si>
  <si>
    <t>Nathan cars fuel</t>
  </si>
  <si>
    <t>Nathan Walker</t>
  </si>
  <si>
    <t>Max Weniser</t>
  </si>
  <si>
    <t>Sam Higgs</t>
  </si>
  <si>
    <t>Michael Brigham</t>
  </si>
  <si>
    <t>Ane Appelt</t>
  </si>
  <si>
    <t>Rachel turnbull</t>
  </si>
  <si>
    <t xml:space="preserve">Adam Aldrige </t>
  </si>
  <si>
    <t>Hire car fuel</t>
  </si>
  <si>
    <t>Rachel had to ditch car due to snowy conditions on roads x2 days</t>
  </si>
  <si>
    <t>Example trip</t>
  </si>
  <si>
    <t>Rachel</t>
  </si>
  <si>
    <t xml:space="preserve">Expenses recipt confirmed </t>
  </si>
  <si>
    <t>Rachel gets her next trip for free</t>
  </si>
  <si>
    <t xml:space="preserve">No trip fees because he made his own way out.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</si>
</sst>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"/>
    <numFmt numFmtId="165" formatCode="0;\-0;;@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0"/>
      <name val="Arial"/>
      <family val="2"/>
    </font>
    <font>
      <b/>
      <sz val="11"/>
      <color theme="4" tint="-0.249977111117893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2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4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0" tint="-0.34998626667073579"/>
      <name val="Arial"/>
      <family val="2"/>
    </font>
    <font>
      <b/>
      <u/>
      <sz val="1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</fills>
  <borders count="62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hair">
        <color theme="5" tint="-0.2499465926084170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hair">
        <color auto="1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/>
      <diagonal/>
    </border>
    <border>
      <left style="hair">
        <color auto="1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3" tint="-0.24994659260841701"/>
      </left>
      <right style="thin">
        <color indexed="64"/>
      </right>
      <top/>
      <bottom style="hair">
        <color theme="3" tint="-0.24994659260841701"/>
      </bottom>
      <diagonal/>
    </border>
    <border>
      <left/>
      <right style="thin">
        <color theme="3" tint="-0.24994659260841701"/>
      </right>
      <top/>
      <bottom style="hair">
        <color indexed="64"/>
      </bottom>
      <diagonal/>
    </border>
    <border>
      <left style="thin">
        <color theme="3" tint="-0.24994659260841701"/>
      </left>
      <right/>
      <top/>
      <bottom style="hair">
        <color theme="3" tint="-0.24994659260841701"/>
      </bottom>
      <diagonal/>
    </border>
    <border>
      <left/>
      <right style="thin">
        <color theme="3" tint="-0.24994659260841701"/>
      </right>
      <top/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hair">
        <color theme="3" tint="-0.2499465926084170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medium">
        <color indexed="64"/>
      </bottom>
      <diagonal/>
    </border>
    <border>
      <left style="thin">
        <color theme="3" tint="-0.24994659260841701"/>
      </left>
      <right/>
      <top/>
      <bottom style="medium">
        <color indexed="64"/>
      </bottom>
      <diagonal/>
    </border>
    <border>
      <left/>
      <right style="thin">
        <color theme="3" tint="-0.2499465926084170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theme="3" tint="-0.2499465926084170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theme="3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 style="hair">
        <color theme="0"/>
      </left>
      <right/>
      <top/>
      <bottom/>
      <diagonal/>
    </border>
    <border>
      <left/>
      <right/>
      <top style="hair">
        <color theme="0"/>
      </top>
      <bottom/>
      <diagonal/>
    </border>
    <border>
      <left style="hair">
        <color auto="1"/>
      </left>
      <right style="hair">
        <color indexed="64"/>
      </right>
      <top style="hair">
        <color auto="1"/>
      </top>
      <bottom/>
      <diagonal/>
    </border>
    <border>
      <left style="hair">
        <color theme="0"/>
      </left>
      <right/>
      <top style="hair">
        <color indexed="64"/>
      </top>
      <bottom/>
      <diagonal/>
    </border>
    <border>
      <left/>
      <right style="hair">
        <color theme="0"/>
      </right>
      <top style="hair">
        <color indexed="64"/>
      </top>
      <bottom/>
      <diagonal/>
    </border>
    <border>
      <left style="hair">
        <color indexed="64"/>
      </left>
      <right style="hair">
        <color theme="0"/>
      </right>
      <top style="hair">
        <color indexed="64"/>
      </top>
      <bottom style="hair">
        <color theme="1"/>
      </bottom>
      <diagonal/>
    </border>
    <border>
      <left/>
      <right/>
      <top/>
      <bottom style="hair">
        <color theme="0"/>
      </bottom>
      <diagonal/>
    </border>
    <border>
      <left style="thin">
        <color theme="3" tint="-0.2499465926084170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10" fillId="11" borderId="0" applyNumberFormat="0" applyBorder="0" applyAlignment="0" applyProtection="0"/>
    <xf numFmtId="0" fontId="12" fillId="0" borderId="0" applyNumberFormat="0" applyFill="0" applyBorder="0" applyAlignment="0" applyProtection="0"/>
  </cellStyleXfs>
  <cellXfs count="164">
    <xf numFmtId="0" fontId="0" fillId="0" borderId="0" xfId="0"/>
    <xf numFmtId="0" fontId="0" fillId="2" borderId="0" xfId="0" applyFill="1"/>
    <xf numFmtId="0" fontId="4" fillId="2" borderId="0" xfId="0" applyFont="1" applyFill="1" applyAlignment="1">
      <alignment horizontal="center"/>
    </xf>
    <xf numFmtId="0" fontId="5" fillId="2" borderId="0" xfId="0" applyFont="1" applyFill="1"/>
    <xf numFmtId="0" fontId="0" fillId="3" borderId="0" xfId="0" applyFill="1"/>
    <xf numFmtId="0" fontId="3" fillId="4" borderId="0" xfId="0" applyFont="1" applyFill="1"/>
    <xf numFmtId="0" fontId="3" fillId="0" borderId="0" xfId="0" applyFont="1"/>
    <xf numFmtId="0" fontId="6" fillId="0" borderId="0" xfId="0" applyFont="1" applyBorder="1"/>
    <xf numFmtId="0" fontId="0" fillId="0" borderId="0" xfId="0" applyBorder="1"/>
    <xf numFmtId="0" fontId="6" fillId="0" borderId="1" xfId="0" applyFont="1" applyBorder="1"/>
    <xf numFmtId="0" fontId="6" fillId="0" borderId="0" xfId="0" applyFont="1"/>
    <xf numFmtId="0" fontId="7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6" borderId="0" xfId="0" applyFill="1"/>
    <xf numFmtId="0" fontId="0" fillId="0" borderId="0" xfId="0" applyFill="1"/>
    <xf numFmtId="0" fontId="4" fillId="2" borderId="0" xfId="0" applyFont="1" applyFill="1" applyAlignment="1">
      <alignment horizontal="left"/>
    </xf>
    <xf numFmtId="164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0" fontId="0" fillId="0" borderId="0" xfId="0" applyFill="1" applyBorder="1"/>
    <xf numFmtId="0" fontId="0" fillId="0" borderId="0" xfId="0" applyFill="1" applyBorder="1" applyAlignment="1" applyProtection="1">
      <alignment horizontal="left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Fill="1" applyBorder="1" applyAlignment="1"/>
    <xf numFmtId="0" fontId="0" fillId="0" borderId="0" xfId="0" applyBorder="1" applyAlignment="1">
      <alignment horizontal="right"/>
    </xf>
    <xf numFmtId="164" fontId="2" fillId="0" borderId="0" xfId="0" applyNumberFormat="1" applyFont="1" applyBorder="1"/>
    <xf numFmtId="164" fontId="8" fillId="1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13" xfId="0" applyBorder="1"/>
    <xf numFmtId="0" fontId="0" fillId="0" borderId="0" xfId="0"/>
    <xf numFmtId="164" fontId="2" fillId="0" borderId="10" xfId="0" applyNumberFormat="1" applyFont="1" applyBorder="1" applyAlignment="1">
      <alignment horizontal="center"/>
    </xf>
    <xf numFmtId="0" fontId="3" fillId="0" borderId="0" xfId="0" applyFont="1" applyFill="1" applyBorder="1"/>
    <xf numFmtId="1" fontId="8" fillId="5" borderId="5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/>
    <xf numFmtId="0" fontId="1" fillId="7" borderId="0" xfId="0" applyFont="1" applyFill="1" applyBorder="1" applyAlignment="1">
      <alignment horizontal="center"/>
    </xf>
    <xf numFmtId="0" fontId="1" fillId="7" borderId="0" xfId="0" applyFont="1" applyFill="1" applyBorder="1"/>
    <xf numFmtId="0" fontId="0" fillId="0" borderId="0" xfId="0" applyBorder="1" applyAlignment="1">
      <alignment horizontal="center"/>
    </xf>
    <xf numFmtId="1" fontId="8" fillId="5" borderId="17" xfId="0" applyNumberFormat="1" applyFont="1" applyFill="1" applyBorder="1" applyAlignment="1" applyProtection="1">
      <alignment horizontal="center" vertical="center"/>
      <protection locked="0"/>
    </xf>
    <xf numFmtId="1" fontId="8" fillId="5" borderId="12" xfId="0" applyNumberFormat="1" applyFont="1" applyFill="1" applyBorder="1" applyAlignment="1" applyProtection="1">
      <alignment horizontal="center" vertical="center"/>
      <protection locked="0"/>
    </xf>
    <xf numFmtId="0" fontId="1" fillId="7" borderId="0" xfId="0" applyFont="1" applyFill="1" applyBorder="1" applyAlignment="1">
      <alignment horizontal="right"/>
    </xf>
    <xf numFmtId="1" fontId="8" fillId="5" borderId="18" xfId="0" applyNumberFormat="1" applyFont="1" applyFill="1" applyBorder="1" applyAlignment="1" applyProtection="1">
      <alignment horizontal="center" vertical="center"/>
      <protection locked="0"/>
    </xf>
    <xf numFmtId="0" fontId="1" fillId="9" borderId="0" xfId="0" applyFont="1" applyFill="1" applyBorder="1"/>
    <xf numFmtId="0" fontId="11" fillId="2" borderId="0" xfId="0" applyFont="1" applyFill="1"/>
    <xf numFmtId="0" fontId="0" fillId="0" borderId="0" xfId="0" applyAlignment="1">
      <alignment wrapText="1"/>
    </xf>
    <xf numFmtId="0" fontId="0" fillId="13" borderId="19" xfId="0" applyFill="1" applyBorder="1" applyAlignment="1">
      <alignment horizontal="center" wrapText="1"/>
    </xf>
    <xf numFmtId="0" fontId="0" fillId="13" borderId="20" xfId="0" applyFill="1" applyBorder="1" applyAlignment="1">
      <alignment horizontal="center" wrapText="1"/>
    </xf>
    <xf numFmtId="0" fontId="0" fillId="10" borderId="19" xfId="0" applyFill="1" applyBorder="1" applyAlignment="1">
      <alignment horizontal="center" wrapText="1"/>
    </xf>
    <xf numFmtId="165" fontId="0" fillId="0" borderId="21" xfId="0" applyNumberFormat="1" applyBorder="1" applyAlignment="1">
      <alignment horizontal="center"/>
    </xf>
    <xf numFmtId="165" fontId="0" fillId="0" borderId="23" xfId="0" applyNumberFormat="1" applyBorder="1" applyAlignment="1">
      <alignment horizontal="center"/>
    </xf>
    <xf numFmtId="164" fontId="0" fillId="0" borderId="0" xfId="0" applyNumberFormat="1" applyFill="1" applyBorder="1"/>
    <xf numFmtId="165" fontId="0" fillId="0" borderId="25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Fill="1" applyBorder="1"/>
    <xf numFmtId="0" fontId="13" fillId="0" borderId="0" xfId="0" applyFont="1" applyFill="1" applyBorder="1" applyAlignment="1">
      <alignment horizontal="center"/>
    </xf>
    <xf numFmtId="0" fontId="12" fillId="0" borderId="32" xfId="2" applyBorder="1"/>
    <xf numFmtId="0" fontId="12" fillId="0" borderId="14" xfId="2" applyBorder="1"/>
    <xf numFmtId="165" fontId="0" fillId="0" borderId="33" xfId="0" applyNumberFormat="1" applyBorder="1" applyAlignment="1">
      <alignment horizontal="center"/>
    </xf>
    <xf numFmtId="165" fontId="0" fillId="0" borderId="34" xfId="0" applyNumberFormat="1" applyBorder="1" applyAlignment="1">
      <alignment horizontal="center"/>
    </xf>
    <xf numFmtId="0" fontId="0" fillId="10" borderId="31" xfId="0" applyFill="1" applyBorder="1" applyAlignment="1">
      <alignment horizontal="center" wrapText="1"/>
    </xf>
    <xf numFmtId="0" fontId="0" fillId="0" borderId="0" xfId="0" applyAlignment="1">
      <alignment horizontal="center"/>
    </xf>
    <xf numFmtId="14" fontId="0" fillId="5" borderId="0" xfId="0" applyNumberFormat="1" applyFill="1" applyAlignment="1">
      <alignment horizontal="center"/>
    </xf>
    <xf numFmtId="164" fontId="15" fillId="5" borderId="5" xfId="0" applyNumberFormat="1" applyFont="1" applyFill="1" applyBorder="1" applyAlignment="1" applyProtection="1">
      <alignment horizontal="center" vertical="center"/>
    </xf>
    <xf numFmtId="164" fontId="15" fillId="5" borderId="5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>
      <alignment horizontal="center" wrapText="1"/>
    </xf>
    <xf numFmtId="164" fontId="2" fillId="12" borderId="28" xfId="0" applyNumberFormat="1" applyFont="1" applyFill="1" applyBorder="1" applyAlignment="1">
      <alignment horizontal="center"/>
    </xf>
    <xf numFmtId="164" fontId="2" fillId="12" borderId="29" xfId="0" applyNumberFormat="1" applyFont="1" applyFill="1" applyBorder="1" applyAlignment="1">
      <alignment horizontal="center"/>
    </xf>
    <xf numFmtId="164" fontId="2" fillId="12" borderId="30" xfId="0" applyNumberFormat="1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1" fillId="7" borderId="0" xfId="0" applyFont="1" applyFill="1" applyBorder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0" fillId="10" borderId="20" xfId="0" applyFill="1" applyBorder="1" applyAlignment="1">
      <alignment horizontal="center" wrapText="1"/>
    </xf>
    <xf numFmtId="164" fontId="2" fillId="12" borderId="8" xfId="0" applyNumberFormat="1" applyFont="1" applyFill="1" applyBorder="1" applyAlignment="1">
      <alignment horizontal="center"/>
    </xf>
    <xf numFmtId="0" fontId="0" fillId="10" borderId="39" xfId="0" applyFill="1" applyBorder="1" applyAlignment="1">
      <alignment horizontal="center" wrapText="1"/>
    </xf>
    <xf numFmtId="164" fontId="0" fillId="5" borderId="6" xfId="0" applyNumberFormat="1" applyFill="1" applyBorder="1" applyAlignment="1">
      <alignment horizontal="center"/>
    </xf>
    <xf numFmtId="164" fontId="0" fillId="5" borderId="7" xfId="0" applyNumberFormat="1" applyFill="1" applyBorder="1" applyAlignment="1">
      <alignment horizontal="center"/>
    </xf>
    <xf numFmtId="0" fontId="16" fillId="0" borderId="0" xfId="0" applyFont="1" applyFill="1" applyBorder="1" applyAlignment="1">
      <alignment vertical="top" wrapText="1"/>
    </xf>
    <xf numFmtId="0" fontId="0" fillId="0" borderId="0" xfId="0" applyFill="1" applyBorder="1" applyAlignment="1">
      <alignment vertical="top" wrapText="1"/>
    </xf>
    <xf numFmtId="0" fontId="0" fillId="5" borderId="16" xfId="0" applyFill="1" applyBorder="1" applyAlignment="1" applyProtection="1">
      <alignment horizontal="left"/>
      <protection locked="0"/>
    </xf>
    <xf numFmtId="0" fontId="0" fillId="5" borderId="15" xfId="0" applyFill="1" applyBorder="1" applyAlignment="1" applyProtection="1">
      <alignment horizontal="left"/>
      <protection locked="0"/>
    </xf>
    <xf numFmtId="0" fontId="0" fillId="5" borderId="15" xfId="0" applyFont="1" applyFill="1" applyBorder="1" applyAlignment="1" applyProtection="1">
      <alignment horizontal="left"/>
      <protection locked="0"/>
    </xf>
    <xf numFmtId="0" fontId="0" fillId="14" borderId="6" xfId="0" applyFill="1" applyBorder="1" applyAlignment="1" applyProtection="1">
      <alignment horizontal="center"/>
    </xf>
    <xf numFmtId="0" fontId="0" fillId="14" borderId="7" xfId="0" applyFill="1" applyBorder="1" applyAlignment="1" applyProtection="1">
      <alignment horizontal="center"/>
    </xf>
    <xf numFmtId="0" fontId="0" fillId="14" borderId="40" xfId="0" applyFill="1" applyBorder="1" applyAlignment="1" applyProtection="1">
      <alignment horizontal="center"/>
    </xf>
    <xf numFmtId="0" fontId="1" fillId="0" borderId="0" xfId="0" applyFont="1" applyFill="1" applyBorder="1"/>
    <xf numFmtId="0" fontId="0" fillId="0" borderId="0" xfId="0" applyFill="1" applyBorder="1" applyAlignment="1" applyProtection="1">
      <protection locked="0"/>
    </xf>
    <xf numFmtId="0" fontId="0" fillId="0" borderId="42" xfId="0" applyFill="1" applyBorder="1" applyAlignment="1" applyProtection="1">
      <protection locked="0"/>
    </xf>
    <xf numFmtId="164" fontId="15" fillId="5" borderId="17" xfId="0" applyNumberFormat="1" applyFont="1" applyFill="1" applyBorder="1" applyAlignment="1" applyProtection="1">
      <alignment horizontal="center" vertical="center"/>
    </xf>
    <xf numFmtId="0" fontId="0" fillId="0" borderId="43" xfId="0" applyBorder="1"/>
    <xf numFmtId="1" fontId="8" fillId="5" borderId="44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65" fontId="0" fillId="0" borderId="0" xfId="0" applyNumberFormat="1" applyFill="1" applyBorder="1" applyAlignment="1"/>
    <xf numFmtId="1" fontId="0" fillId="0" borderId="43" xfId="0" applyNumberFormat="1" applyBorder="1"/>
    <xf numFmtId="164" fontId="0" fillId="15" borderId="0" xfId="0" applyNumberFormat="1" applyFill="1"/>
    <xf numFmtId="164" fontId="0" fillId="15" borderId="48" xfId="0" applyNumberFormat="1" applyFill="1" applyBorder="1"/>
    <xf numFmtId="0" fontId="7" fillId="0" borderId="0" xfId="0" applyFont="1" applyBorder="1" applyAlignment="1">
      <alignment horizontal="right"/>
    </xf>
    <xf numFmtId="14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2" fillId="0" borderId="26" xfId="2" applyBorder="1" applyAlignment="1">
      <alignment vertical="center"/>
    </xf>
    <xf numFmtId="0" fontId="12" fillId="0" borderId="32" xfId="2" applyBorder="1" applyAlignment="1">
      <alignment vertical="center"/>
    </xf>
    <xf numFmtId="0" fontId="12" fillId="0" borderId="14" xfId="2" applyBorder="1" applyAlignment="1">
      <alignment vertical="center"/>
    </xf>
    <xf numFmtId="165" fontId="0" fillId="0" borderId="49" xfId="0" applyNumberFormat="1" applyBorder="1" applyAlignment="1">
      <alignment horizontal="center"/>
    </xf>
    <xf numFmtId="14" fontId="0" fillId="0" borderId="22" xfId="0" applyNumberFormat="1" applyBorder="1" applyAlignment="1">
      <alignment horizontal="center" vertical="center"/>
    </xf>
    <xf numFmtId="14" fontId="0" fillId="0" borderId="35" xfId="0" applyNumberFormat="1" applyBorder="1" applyAlignment="1">
      <alignment horizontal="center" vertical="center"/>
    </xf>
    <xf numFmtId="164" fontId="0" fillId="0" borderId="36" xfId="0" applyNumberForma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164" fontId="0" fillId="0" borderId="38" xfId="0" applyNumberFormat="1" applyBorder="1" applyAlignment="1">
      <alignment vertical="center"/>
    </xf>
    <xf numFmtId="164" fontId="0" fillId="0" borderId="32" xfId="0" applyNumberFormat="1" applyBorder="1" applyAlignment="1">
      <alignment vertical="center"/>
    </xf>
    <xf numFmtId="164" fontId="0" fillId="0" borderId="27" xfId="0" applyNumberFormat="1" applyBorder="1" applyAlignment="1">
      <alignment horizontal="center" vertical="center"/>
    </xf>
    <xf numFmtId="164" fontId="0" fillId="0" borderId="35" xfId="0" applyNumberFormat="1" applyBorder="1" applyAlignment="1">
      <alignment horizontal="center" vertical="center"/>
    </xf>
    <xf numFmtId="164" fontId="0" fillId="0" borderId="50" xfId="0" applyNumberFormat="1" applyBorder="1" applyAlignment="1">
      <alignment vertical="center"/>
    </xf>
    <xf numFmtId="164" fontId="0" fillId="0" borderId="26" xfId="0" applyNumberFormat="1" applyBorder="1" applyAlignment="1">
      <alignment vertical="center"/>
    </xf>
    <xf numFmtId="0" fontId="9" fillId="13" borderId="51" xfId="1" applyFont="1" applyFill="1" applyBorder="1" applyAlignment="1">
      <alignment horizontal="center" wrapText="1"/>
    </xf>
    <xf numFmtId="0" fontId="10" fillId="11" borderId="39" xfId="1" applyBorder="1" applyAlignment="1">
      <alignment wrapText="1"/>
    </xf>
    <xf numFmtId="164" fontId="8" fillId="5" borderId="5" xfId="0" applyNumberFormat="1" applyFont="1" applyFill="1" applyBorder="1" applyAlignment="1" applyProtection="1">
      <alignment horizontal="center" vertical="center"/>
    </xf>
    <xf numFmtId="164" fontId="8" fillId="5" borderId="17" xfId="0" applyNumberFormat="1" applyFont="1" applyFill="1" applyBorder="1" applyAlignment="1" applyProtection="1">
      <alignment horizontal="center" vertical="center"/>
    </xf>
    <xf numFmtId="164" fontId="8" fillId="5" borderId="5" xfId="0" applyNumberFormat="1" applyFont="1" applyFill="1" applyBorder="1" applyAlignment="1" applyProtection="1">
      <alignment horizontal="center" vertical="center"/>
      <protection locked="0"/>
    </xf>
    <xf numFmtId="164" fontId="8" fillId="5" borderId="17" xfId="0" applyNumberFormat="1" applyFont="1" applyFill="1" applyBorder="1" applyAlignment="1" applyProtection="1">
      <alignment horizontal="center" vertical="center"/>
      <protection locked="0"/>
    </xf>
    <xf numFmtId="0" fontId="12" fillId="0" borderId="52" xfId="2" applyBorder="1" applyAlignment="1">
      <alignment vertical="center"/>
    </xf>
    <xf numFmtId="0" fontId="0" fillId="5" borderId="53" xfId="0" applyFill="1" applyBorder="1" applyAlignment="1" applyProtection="1">
      <alignment horizontal="left"/>
      <protection locked="0"/>
    </xf>
    <xf numFmtId="164" fontId="0" fillId="5" borderId="40" xfId="0" applyNumberFormat="1" applyFill="1" applyBorder="1" applyAlignment="1">
      <alignment horizontal="center"/>
    </xf>
    <xf numFmtId="164" fontId="8" fillId="8" borderId="3" xfId="0" applyNumberFormat="1" applyFont="1" applyFill="1" applyBorder="1" applyAlignment="1" applyProtection="1">
      <alignment horizontal="center" vertical="center"/>
    </xf>
    <xf numFmtId="164" fontId="8" fillId="8" borderId="47" xfId="0" applyNumberFormat="1" applyFont="1" applyFill="1" applyBorder="1" applyAlignment="1" applyProtection="1">
      <alignment horizontal="center" vertical="center"/>
    </xf>
    <xf numFmtId="164" fontId="0" fillId="15" borderId="48" xfId="0" applyNumberFormat="1" applyFill="1" applyBorder="1" applyAlignment="1">
      <alignment horizontal="center"/>
    </xf>
    <xf numFmtId="164" fontId="0" fillId="15" borderId="0" xfId="0" applyNumberFormat="1" applyFill="1" applyAlignment="1">
      <alignment horizontal="center"/>
    </xf>
    <xf numFmtId="0" fontId="1" fillId="16" borderId="61" xfId="0" applyFont="1" applyFill="1" applyBorder="1" applyAlignment="1">
      <alignment horizontal="left"/>
    </xf>
    <xf numFmtId="0" fontId="0" fillId="16" borderId="13" xfId="0" applyFill="1" applyBorder="1" applyAlignment="1">
      <alignment horizontal="left"/>
    </xf>
    <xf numFmtId="0" fontId="1" fillId="7" borderId="0" xfId="0" applyFont="1" applyFill="1" applyBorder="1" applyAlignment="1">
      <alignment horizontal="left"/>
    </xf>
    <xf numFmtId="0" fontId="0" fillId="5" borderId="56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0" fontId="0" fillId="5" borderId="57" xfId="0" applyFill="1" applyBorder="1" applyAlignment="1">
      <alignment horizontal="left"/>
    </xf>
    <xf numFmtId="0" fontId="0" fillId="5" borderId="58" xfId="0" applyFill="1" applyBorder="1" applyAlignment="1">
      <alignment horizontal="left"/>
    </xf>
    <xf numFmtId="0" fontId="0" fillId="5" borderId="59" xfId="0" applyFill="1" applyBorder="1" applyAlignment="1">
      <alignment horizontal="left"/>
    </xf>
    <xf numFmtId="0" fontId="0" fillId="5" borderId="60" xfId="0" applyFill="1" applyBorder="1" applyAlignment="1">
      <alignment horizontal="left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0" fontId="0" fillId="5" borderId="11" xfId="0" applyFill="1" applyBorder="1" applyAlignment="1" applyProtection="1">
      <alignment horizontal="left"/>
      <protection locked="0"/>
    </xf>
    <xf numFmtId="0" fontId="0" fillId="5" borderId="54" xfId="0" applyFill="1" applyBorder="1" applyAlignment="1">
      <alignment horizontal="left"/>
    </xf>
    <xf numFmtId="0" fontId="0" fillId="5" borderId="2" xfId="0" applyFill="1" applyBorder="1" applyAlignment="1">
      <alignment horizontal="left"/>
    </xf>
    <xf numFmtId="0" fontId="0" fillId="5" borderId="55" xfId="0" applyFill="1" applyBorder="1" applyAlignment="1">
      <alignment horizontal="left"/>
    </xf>
    <xf numFmtId="1" fontId="14" fillId="5" borderId="11" xfId="0" applyNumberFormat="1" applyFont="1" applyFill="1" applyBorder="1" applyAlignment="1" applyProtection="1">
      <alignment horizontal="center" vertical="center"/>
      <protection locked="0"/>
    </xf>
    <xf numFmtId="1" fontId="14" fillId="5" borderId="9" xfId="0" applyNumberFormat="1" applyFont="1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left"/>
      <protection locked="0"/>
    </xf>
    <xf numFmtId="0" fontId="0" fillId="0" borderId="37" xfId="0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0" fillId="5" borderId="2" xfId="0" applyFill="1" applyBorder="1" applyAlignment="1" applyProtection="1">
      <alignment horizontal="left"/>
      <protection locked="0"/>
    </xf>
    <xf numFmtId="0" fontId="0" fillId="5" borderId="4" xfId="0" applyFill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0" fillId="10" borderId="0" xfId="0" applyFill="1" applyBorder="1" applyAlignment="1">
      <alignment horizontal="center"/>
    </xf>
    <xf numFmtId="0" fontId="0" fillId="5" borderId="0" xfId="0" applyNumberFormat="1" applyFill="1" applyBorder="1" applyAlignment="1" applyProtection="1">
      <alignment horizontal="center"/>
      <protection locked="0"/>
    </xf>
    <xf numFmtId="14" fontId="8" fillId="5" borderId="3" xfId="0" applyNumberFormat="1" applyFont="1" applyFill="1" applyBorder="1" applyAlignment="1" applyProtection="1">
      <alignment horizontal="center" vertical="center"/>
      <protection locked="0"/>
    </xf>
    <xf numFmtId="14" fontId="8" fillId="5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textRotation="180"/>
    </xf>
    <xf numFmtId="14" fontId="8" fillId="5" borderId="41" xfId="0" applyNumberFormat="1" applyFont="1" applyFill="1" applyBorder="1" applyAlignment="1" applyProtection="1">
      <alignment horizontal="center" vertical="center"/>
      <protection locked="0"/>
    </xf>
    <xf numFmtId="14" fontId="8" fillId="5" borderId="17" xfId="0" applyNumberFormat="1" applyFont="1" applyFill="1" applyBorder="1" applyAlignment="1" applyProtection="1">
      <alignment horizontal="center" vertical="center"/>
      <protection locked="0"/>
    </xf>
    <xf numFmtId="1" fontId="14" fillId="5" borderId="3" xfId="0" applyNumberFormat="1" applyFont="1" applyFill="1" applyBorder="1" applyAlignment="1" applyProtection="1">
      <alignment horizontal="center" vertical="center"/>
      <protection locked="0"/>
    </xf>
    <xf numFmtId="1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" fillId="7" borderId="0" xfId="0" applyFont="1" applyFill="1" applyBorder="1" applyAlignment="1">
      <alignment horizontal="center"/>
    </xf>
    <xf numFmtId="1" fontId="8" fillId="0" borderId="43" xfId="0" applyNumberFormat="1" applyFont="1" applyFill="1" applyBorder="1" applyAlignment="1" applyProtection="1">
      <alignment horizontal="center" vertical="center"/>
      <protection locked="0"/>
    </xf>
    <xf numFmtId="0" fontId="0" fillId="5" borderId="45" xfId="0" applyFill="1" applyBorder="1" applyAlignment="1" applyProtection="1">
      <alignment horizontal="left"/>
      <protection locked="0"/>
    </xf>
    <xf numFmtId="0" fontId="0" fillId="5" borderId="41" xfId="0" applyFill="1" applyBorder="1" applyAlignment="1" applyProtection="1">
      <alignment horizontal="left"/>
      <protection locked="0"/>
    </xf>
    <xf numFmtId="0" fontId="0" fillId="5" borderId="46" xfId="0" applyFill="1" applyBorder="1" applyAlignment="1" applyProtection="1">
      <alignment horizontal="left"/>
      <protection locked="0"/>
    </xf>
  </cellXfs>
  <cellStyles count="3">
    <cellStyle name="Bad" xfId="1" builtinId="27"/>
    <cellStyle name="Hyperlink" xfId="2" builtinId="8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67850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66675</xdr:rowOff>
    </xdr:from>
    <xdr:to>
      <xdr:col>15</xdr:col>
      <xdr:colOff>107122</xdr:colOff>
      <xdr:row>6</xdr:row>
      <xdr:rowOff>40447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0725" y="66675"/>
          <a:ext cx="707197" cy="70719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endan/Desktop/Caving%20Club/Club%20Spreadsheets/29.03.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ey In"/>
      <sheetName val="Summary"/>
      <sheetName val="Money Owed"/>
      <sheetName val="Balance Sheet"/>
      <sheetName val="Trip (1)"/>
      <sheetName val="Trip (2)"/>
      <sheetName val="Trip (3)"/>
      <sheetName val="Trip (4)"/>
      <sheetName val="Trip (5)"/>
      <sheetName val="Trip (6)"/>
      <sheetName val="Trip (7)"/>
      <sheetName val="Trip (8)"/>
      <sheetName val="Trip (9)"/>
      <sheetName val="Trip (10)"/>
      <sheetName val="Trip (11)"/>
      <sheetName val="Trip (12)"/>
      <sheetName val="Trip (13)"/>
      <sheetName val="Trip (14)"/>
      <sheetName val="Trip (15)"/>
      <sheetName val="Trip (16)"/>
      <sheetName val="Trip (17)"/>
      <sheetName val="Trip (18)"/>
      <sheetName val="Trip (19)"/>
      <sheetName val="Trip (20)"/>
      <sheetName val="Setup Pag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8">
          <cell r="C8" t="str">
            <v>Trip Attendee Names</v>
          </cell>
          <cell r="E8" t="str">
            <v>Sharing Items</v>
          </cell>
          <cell r="H8" t="str">
            <v>Individuals required Items</v>
          </cell>
          <cell r="K8" t="str">
            <v>Club Rental items</v>
          </cell>
          <cell r="N8" t="str">
            <v>Trip</v>
          </cell>
        </row>
        <row r="9">
          <cell r="C9" t="str">
            <v>▼</v>
          </cell>
          <cell r="E9" t="str">
            <v>▼</v>
          </cell>
          <cell r="H9" t="str">
            <v>▼</v>
          </cell>
          <cell r="K9" t="str">
            <v>▼</v>
          </cell>
          <cell r="N9" t="str">
            <v>▼</v>
          </cell>
        </row>
        <row r="10">
          <cell r="C10" t="str">
            <v>ABBIE TWOMEY</v>
          </cell>
          <cell r="N10" t="str">
            <v>Trip 1</v>
          </cell>
        </row>
        <row r="11">
          <cell r="C11" t="str">
            <v>ALEXANDER SHEPPARD</v>
          </cell>
          <cell r="N11" t="str">
            <v>Trip 2</v>
          </cell>
        </row>
        <row r="12">
          <cell r="C12" t="str">
            <v>ANNE BARBER</v>
          </cell>
          <cell r="N12" t="str">
            <v>Trip 3</v>
          </cell>
        </row>
        <row r="13">
          <cell r="C13" t="str">
            <v>BRENDAN HALL</v>
          </cell>
          <cell r="N13" t="str">
            <v>Trip 4</v>
          </cell>
        </row>
        <row r="14">
          <cell r="C14" t="str">
            <v>CAROLINE NUNN</v>
          </cell>
          <cell r="N14" t="str">
            <v>Trip 5</v>
          </cell>
        </row>
        <row r="15">
          <cell r="C15" t="str">
            <v>CLARA DUNCAN</v>
          </cell>
          <cell r="N15" t="str">
            <v>Trip 6</v>
          </cell>
        </row>
        <row r="16">
          <cell r="C16" t="str">
            <v>DANIEL LENARTOWICZ</v>
          </cell>
          <cell r="N16" t="str">
            <v>Trip 7</v>
          </cell>
        </row>
        <row r="17">
          <cell r="C17" t="str">
            <v>DAVID MCCAUSLAND</v>
          </cell>
          <cell r="N17" t="str">
            <v>Trip 8</v>
          </cell>
        </row>
        <row r="18">
          <cell r="C18" t="str">
            <v>EDWARD MORT</v>
          </cell>
          <cell r="N18" t="str">
            <v>Trip 9</v>
          </cell>
        </row>
        <row r="19">
          <cell r="C19" t="str">
            <v>EMILY VOYSEY</v>
          </cell>
          <cell r="N19" t="str">
            <v>Trip 10</v>
          </cell>
        </row>
        <row r="20">
          <cell r="C20" t="str">
            <v>GEORGE BRELEY</v>
          </cell>
          <cell r="N20" t="str">
            <v>Trip 11</v>
          </cell>
        </row>
        <row r="21">
          <cell r="C21" t="str">
            <v>JESSICA PUNTAN</v>
          </cell>
          <cell r="N21" t="str">
            <v>Trip 12</v>
          </cell>
        </row>
        <row r="22">
          <cell r="C22" t="str">
            <v>JONATHAN BOOTH</v>
          </cell>
          <cell r="N22" t="str">
            <v>Trip 13</v>
          </cell>
        </row>
        <row r="23">
          <cell r="C23" t="str">
            <v>KRISTIEN BROOK</v>
          </cell>
          <cell r="N23" t="str">
            <v>Trip 14</v>
          </cell>
        </row>
        <row r="24">
          <cell r="C24" t="str">
            <v>LUKE STANGROOM</v>
          </cell>
          <cell r="N24" t="str">
            <v>Trip 15</v>
          </cell>
        </row>
        <row r="25">
          <cell r="C25" t="str">
            <v>MATILDA COOK</v>
          </cell>
          <cell r="N25" t="str">
            <v>Trip 16</v>
          </cell>
        </row>
        <row r="26">
          <cell r="C26" t="str">
            <v>MATTHEW DAY</v>
          </cell>
          <cell r="N26" t="str">
            <v>Trip 17</v>
          </cell>
        </row>
        <row r="27">
          <cell r="C27" t="str">
            <v>MATTHEW PERKINS</v>
          </cell>
          <cell r="N27" t="str">
            <v>Trip 18</v>
          </cell>
        </row>
        <row r="28">
          <cell r="C28" t="str">
            <v>MIKE BUTCHER</v>
          </cell>
          <cell r="N28" t="str">
            <v>Trip 19</v>
          </cell>
        </row>
        <row r="29">
          <cell r="C29" t="str">
            <v>NADIA RAEBURN-CHERRADI</v>
          </cell>
          <cell r="N29" t="str">
            <v>Trip 20</v>
          </cell>
        </row>
        <row r="30">
          <cell r="C30" t="str">
            <v>NATHAN WALKER</v>
          </cell>
        </row>
        <row r="31">
          <cell r="C31" t="str">
            <v>NATHANAEL DALTON</v>
          </cell>
        </row>
        <row r="32">
          <cell r="C32" t="str">
            <v>PEACHY</v>
          </cell>
        </row>
        <row r="33">
          <cell r="C33" t="str">
            <v>RACHEL TURNBULL</v>
          </cell>
        </row>
        <row r="34">
          <cell r="C34" t="str">
            <v>ROB RIGNALL</v>
          </cell>
        </row>
        <row r="35">
          <cell r="C35" t="str">
            <v>ROBERT WATSON</v>
          </cell>
        </row>
        <row r="36">
          <cell r="C36" t="str">
            <v>ROCHELLE FULCHER</v>
          </cell>
        </row>
        <row r="37">
          <cell r="C37" t="str">
            <v>SARAH HARRIS</v>
          </cell>
        </row>
        <row r="38">
          <cell r="C38" t="str">
            <v>SARAH PARKER</v>
          </cell>
        </row>
        <row r="39">
          <cell r="C39" t="str">
            <v>SHANNON RUSSELL</v>
          </cell>
        </row>
        <row r="40">
          <cell r="C40" t="str">
            <v>SUE SU</v>
          </cell>
        </row>
        <row r="41">
          <cell r="C41" t="str">
            <v>THOMAS FENTON</v>
          </cell>
        </row>
        <row r="42">
          <cell r="C42" t="str">
            <v>YUKO SUZUKI</v>
          </cell>
        </row>
        <row r="43">
          <cell r="C43" t="str">
            <v>ZARA HALL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A57"/>
  <sheetViews>
    <sheetView zoomScale="70" zoomScaleNormal="70" workbookViewId="0"/>
  </sheetViews>
  <sheetFormatPr defaultColWidth="9.140625" defaultRowHeight="15" outlineLevelCol="1" x14ac:dyDescent="0.25"/>
  <cols>
    <col min="1" max="1" width="3.28515625" style="27" customWidth="1"/>
    <col min="2" max="2" width="7.85546875" style="27" customWidth="1"/>
    <col min="3" max="3" width="10.7109375" style="27" customWidth="1"/>
    <col min="4" max="4" width="31.7109375" style="27" customWidth="1"/>
    <col min="5" max="5" width="12.28515625" style="27" customWidth="1" outlineLevel="1"/>
    <col min="6" max="6" width="24.140625" style="27" customWidth="1" outlineLevel="1"/>
    <col min="7" max="7" width="22.5703125" style="27" customWidth="1" outlineLevel="1"/>
    <col min="8" max="8" width="14.140625" style="27" customWidth="1" outlineLevel="1"/>
    <col min="9" max="9" width="14.140625" style="27" customWidth="1" outlineLevel="1" collapsed="1"/>
    <col min="10" max="10" width="19.140625" style="27" customWidth="1" outlineLevel="1"/>
    <col min="11" max="11" width="14.28515625" style="27" customWidth="1"/>
    <col min="12" max="12" width="13" style="14" customWidth="1"/>
    <col min="13" max="14" width="14.140625" style="27" customWidth="1"/>
    <col min="15" max="15" width="13.42578125" style="27" customWidth="1"/>
    <col min="16" max="16" width="16" style="27" customWidth="1"/>
    <col min="17" max="17" width="14.42578125" style="27" customWidth="1"/>
    <col min="18" max="18" width="12.42578125" style="27" customWidth="1"/>
    <col min="19" max="19" width="10.7109375" style="27" customWidth="1"/>
    <col min="20" max="20" width="9.42578125" style="27" customWidth="1"/>
    <col min="21" max="21" width="9.140625" style="27" customWidth="1"/>
    <col min="22" max="23" width="11.140625" style="27" customWidth="1"/>
    <col min="24" max="24" width="14.28515625" style="27" customWidth="1"/>
    <col min="25" max="16384" width="9.140625" style="27"/>
  </cols>
  <sheetData>
    <row r="1" spans="1:27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27" ht="21" customHeight="1" x14ac:dyDescent="0.45">
      <c r="A2" s="15"/>
      <c r="B2" s="40" t="s">
        <v>38</v>
      </c>
      <c r="C2" s="40"/>
      <c r="D2" s="1"/>
      <c r="E2" s="3" t="s">
        <v>44</v>
      </c>
      <c r="F2" s="1"/>
      <c r="G2" s="1"/>
      <c r="H2" s="1"/>
      <c r="I2" s="3"/>
      <c r="J2" s="3"/>
      <c r="K2" s="3"/>
      <c r="L2" s="3"/>
      <c r="M2" s="3"/>
    </row>
    <row r="3" spans="1:27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27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27" s="6" customFormat="1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27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</row>
    <row r="7" spans="1:27" ht="21" customHeight="1" thickBot="1" x14ac:dyDescent="0.3">
      <c r="K7" s="19"/>
      <c r="L7" s="19"/>
      <c r="M7" s="19"/>
    </row>
    <row r="8" spans="1:27" ht="15.75" thickBot="1" x14ac:dyDescent="0.3">
      <c r="H8" s="62">
        <f t="shared" ref="H8:J8" si="0">SUM(H10:H29)</f>
        <v>60</v>
      </c>
      <c r="I8" s="63">
        <f t="shared" si="0"/>
        <v>97</v>
      </c>
      <c r="J8" s="64">
        <f t="shared" si="0"/>
        <v>-37</v>
      </c>
      <c r="K8" s="71"/>
      <c r="L8" s="65"/>
      <c r="M8" s="65"/>
    </row>
    <row r="9" spans="1:27" s="41" customFormat="1" ht="32.25" customHeight="1" x14ac:dyDescent="0.25">
      <c r="B9" s="113" t="s">
        <v>39</v>
      </c>
      <c r="C9" s="112" t="s">
        <v>40</v>
      </c>
      <c r="D9" s="42" t="s">
        <v>41</v>
      </c>
      <c r="E9" s="42" t="s">
        <v>42</v>
      </c>
      <c r="F9" s="42" t="s">
        <v>3</v>
      </c>
      <c r="G9" s="43" t="s">
        <v>9</v>
      </c>
      <c r="H9" s="44" t="s">
        <v>62</v>
      </c>
      <c r="I9" s="56" t="s">
        <v>43</v>
      </c>
      <c r="J9" s="70" t="s">
        <v>65</v>
      </c>
      <c r="K9" s="72" t="s">
        <v>48</v>
      </c>
      <c r="L9" s="61"/>
      <c r="M9" s="66"/>
    </row>
    <row r="10" spans="1:27" x14ac:dyDescent="0.25">
      <c r="B10" s="53" t="s">
        <v>18</v>
      </c>
      <c r="C10" s="45">
        <f>'Trip (1)'!K$17</f>
        <v>6</v>
      </c>
      <c r="D10" s="45" t="str">
        <f>'Trip (1)'!D$9</f>
        <v>Example trip</v>
      </c>
      <c r="E10" s="102">
        <f>'Trip (1)'!D$13</f>
        <v>43176</v>
      </c>
      <c r="F10" s="48" t="str">
        <f>'Trip (1)'!K$11</f>
        <v>Rachel</v>
      </c>
      <c r="G10" s="46" t="str">
        <f>'Trip (1)'!K$13</f>
        <v>-</v>
      </c>
      <c r="H10" s="104">
        <f>'Trip (1)'!D$19</f>
        <v>60</v>
      </c>
      <c r="I10" s="105">
        <f>'Trip (1)'!D$17</f>
        <v>97</v>
      </c>
      <c r="J10" s="106">
        <f t="shared" ref="J10" si="1">H10-I10</f>
        <v>-37</v>
      </c>
      <c r="K10" s="107">
        <f>J10</f>
        <v>-37</v>
      </c>
      <c r="L10" s="47"/>
      <c r="M10" s="47"/>
    </row>
    <row r="11" spans="1:27" ht="15" customHeight="1" x14ac:dyDescent="0.25">
      <c r="B11" s="52" t="s">
        <v>19</v>
      </c>
      <c r="C11" s="45">
        <f>'Trip (2)'!K$17</f>
        <v>0</v>
      </c>
      <c r="D11" s="45">
        <f>'Trip (2)'!D$9</f>
        <v>0</v>
      </c>
      <c r="E11" s="102">
        <f>'Trip (2)'!D$13</f>
        <v>0</v>
      </c>
      <c r="F11" s="48">
        <f>'Trip (2)'!K$11</f>
        <v>0</v>
      </c>
      <c r="G11" s="46">
        <f>'Trip (2)'!K$13</f>
        <v>0</v>
      </c>
      <c r="H11" s="104">
        <f>'Trip (2)'!D$19</f>
        <v>0</v>
      </c>
      <c r="I11" s="105">
        <f>'Trip (2)'!D$17</f>
        <v>0</v>
      </c>
      <c r="J11" s="106">
        <f t="shared" ref="J11:J21" si="2">H11-I11</f>
        <v>0</v>
      </c>
      <c r="K11" s="107">
        <f>K10+J11</f>
        <v>-37</v>
      </c>
      <c r="L11" s="47"/>
      <c r="M11" s="47"/>
    </row>
    <row r="12" spans="1:27" ht="15.75" customHeight="1" x14ac:dyDescent="0.25">
      <c r="B12" s="52" t="s">
        <v>20</v>
      </c>
      <c r="C12" s="45">
        <f>'Trip (3)'!K$17</f>
        <v>0</v>
      </c>
      <c r="D12" s="45">
        <f>'Trip (3)'!D$9</f>
        <v>0</v>
      </c>
      <c r="E12" s="102">
        <f>'Trip (3)'!D$13</f>
        <v>0</v>
      </c>
      <c r="F12" s="48">
        <f>'Trip (3)'!K$11</f>
        <v>0</v>
      </c>
      <c r="G12" s="46" t="str">
        <f>'Trip (3)'!K$13</f>
        <v>-</v>
      </c>
      <c r="H12" s="104">
        <f>'Trip (3)'!D$19</f>
        <v>0</v>
      </c>
      <c r="I12" s="105">
        <f>'Trip (3)'!D$17</f>
        <v>0</v>
      </c>
      <c r="J12" s="106">
        <f t="shared" si="2"/>
        <v>0</v>
      </c>
      <c r="K12" s="107">
        <f>K11+J12</f>
        <v>-37</v>
      </c>
      <c r="L12" s="47"/>
      <c r="M12" s="47"/>
    </row>
    <row r="13" spans="1:27" x14ac:dyDescent="0.25">
      <c r="B13" s="52" t="s">
        <v>21</v>
      </c>
      <c r="C13" s="45">
        <f>'Trip (4)'!K$17</f>
        <v>0</v>
      </c>
      <c r="D13" s="45">
        <f>'Trip (4)'!D$9</f>
        <v>0</v>
      </c>
      <c r="E13" s="102">
        <f>'Trip (4)'!D$13</f>
        <v>0</v>
      </c>
      <c r="F13" s="48">
        <f>'Trip (4)'!K$11</f>
        <v>0</v>
      </c>
      <c r="G13" s="46" t="str">
        <f>'Trip (4)'!K$13</f>
        <v>-</v>
      </c>
      <c r="H13" s="104">
        <f>'Trip (4)'!D$19</f>
        <v>0</v>
      </c>
      <c r="I13" s="105">
        <f>'Trip (4)'!D$17</f>
        <v>0</v>
      </c>
      <c r="J13" s="106">
        <f t="shared" si="2"/>
        <v>0</v>
      </c>
      <c r="K13" s="107">
        <f t="shared" ref="K13:K39" si="3">K12+J13</f>
        <v>-37</v>
      </c>
      <c r="L13" s="47"/>
      <c r="M13" s="47"/>
      <c r="Y13" s="49"/>
      <c r="Z13" s="49"/>
      <c r="AA13" s="49"/>
    </row>
    <row r="14" spans="1:27" x14ac:dyDescent="0.25">
      <c r="B14" s="53" t="s">
        <v>22</v>
      </c>
      <c r="C14" s="45">
        <f>'Trip (5)'!K$17</f>
        <v>0</v>
      </c>
      <c r="D14" s="45">
        <f>'Trip (5)'!D$9</f>
        <v>0</v>
      </c>
      <c r="E14" s="102">
        <f>'Trip (5)'!D$13</f>
        <v>0</v>
      </c>
      <c r="F14" s="48">
        <f>'Trip (5)'!K$11</f>
        <v>0</v>
      </c>
      <c r="G14" s="46" t="str">
        <f>'Trip (5)'!K$13</f>
        <v>-</v>
      </c>
      <c r="H14" s="104">
        <f>'Trip (5)'!D$19</f>
        <v>0</v>
      </c>
      <c r="I14" s="105">
        <f>'Trip (5)'!D$17</f>
        <v>0</v>
      </c>
      <c r="J14" s="106">
        <f t="shared" si="2"/>
        <v>0</v>
      </c>
      <c r="K14" s="107">
        <f t="shared" si="3"/>
        <v>-37</v>
      </c>
      <c r="L14" s="47"/>
      <c r="M14" s="47"/>
    </row>
    <row r="15" spans="1:27" x14ac:dyDescent="0.25">
      <c r="B15" s="52" t="s">
        <v>23</v>
      </c>
      <c r="C15" s="45">
        <f>'Trip (6)'!K$17</f>
        <v>0</v>
      </c>
      <c r="D15" s="45">
        <f>'Trip (6)'!D$9</f>
        <v>0</v>
      </c>
      <c r="E15" s="102">
        <f>'Trip (6)'!D$13</f>
        <v>0</v>
      </c>
      <c r="F15" s="48">
        <f>'Trip (6)'!K$11</f>
        <v>0</v>
      </c>
      <c r="G15" s="46" t="str">
        <f>'Trip (6)'!K$13</f>
        <v>-</v>
      </c>
      <c r="H15" s="104">
        <f>'Trip (6)'!D$19</f>
        <v>0</v>
      </c>
      <c r="I15" s="105">
        <f>'Trip (6)'!D$17</f>
        <v>0</v>
      </c>
      <c r="J15" s="106">
        <f t="shared" si="2"/>
        <v>0</v>
      </c>
      <c r="K15" s="107">
        <f t="shared" si="3"/>
        <v>-37</v>
      </c>
      <c r="L15" s="47"/>
      <c r="M15" s="47"/>
    </row>
    <row r="16" spans="1:27" x14ac:dyDescent="0.25">
      <c r="B16" s="52" t="s">
        <v>24</v>
      </c>
      <c r="C16" s="45">
        <f>'Trip (7)'!K$17</f>
        <v>0</v>
      </c>
      <c r="D16" s="45">
        <f>'Trip (7)'!D$9</f>
        <v>0</v>
      </c>
      <c r="E16" s="102">
        <f>'Trip (7)'!D$13</f>
        <v>0</v>
      </c>
      <c r="F16" s="48">
        <f>'Trip (7)'!K$11</f>
        <v>0</v>
      </c>
      <c r="G16" s="46" t="str">
        <f>'Trip (7)'!K$13</f>
        <v>-</v>
      </c>
      <c r="H16" s="104">
        <f>'Trip (7)'!D$19</f>
        <v>0</v>
      </c>
      <c r="I16" s="105">
        <f>'Trip (7)'!D$17</f>
        <v>0</v>
      </c>
      <c r="J16" s="106">
        <f t="shared" si="2"/>
        <v>0</v>
      </c>
      <c r="K16" s="107">
        <f t="shared" si="3"/>
        <v>-37</v>
      </c>
      <c r="L16" s="47"/>
      <c r="M16" s="47"/>
    </row>
    <row r="17" spans="2:13" ht="15.75" customHeight="1" x14ac:dyDescent="0.25">
      <c r="B17" s="52" t="s">
        <v>25</v>
      </c>
      <c r="C17" s="45">
        <f>'Trip (8)'!K$17</f>
        <v>0</v>
      </c>
      <c r="D17" s="45">
        <f>'Trip (8)'!D$9</f>
        <v>0</v>
      </c>
      <c r="E17" s="102">
        <f>'Trip (8)'!D$13</f>
        <v>0</v>
      </c>
      <c r="F17" s="48">
        <f>'Trip (8)'!K$11</f>
        <v>0</v>
      </c>
      <c r="G17" s="46" t="str">
        <f>'Trip (8)'!K$13</f>
        <v>-</v>
      </c>
      <c r="H17" s="104">
        <f>'Trip (8)'!D$19</f>
        <v>0</v>
      </c>
      <c r="I17" s="105">
        <f>'Trip (8)'!D$17</f>
        <v>0</v>
      </c>
      <c r="J17" s="106">
        <f t="shared" si="2"/>
        <v>0</v>
      </c>
      <c r="K17" s="107">
        <f t="shared" si="3"/>
        <v>-37</v>
      </c>
      <c r="L17" s="47"/>
      <c r="M17" s="47"/>
    </row>
    <row r="18" spans="2:13" x14ac:dyDescent="0.25">
      <c r="B18" s="52" t="s">
        <v>26</v>
      </c>
      <c r="C18" s="45">
        <f>'Trip (9)'!K$17</f>
        <v>0</v>
      </c>
      <c r="D18" s="45">
        <f>'Trip (9)'!D$9</f>
        <v>0</v>
      </c>
      <c r="E18" s="102">
        <f>'Trip (9)'!D$13</f>
        <v>0</v>
      </c>
      <c r="F18" s="48">
        <f>'Trip (9)'!K$11</f>
        <v>0</v>
      </c>
      <c r="G18" s="46" t="str">
        <f>'Trip (9)'!K$13</f>
        <v>-</v>
      </c>
      <c r="H18" s="104">
        <f>'Trip (9)'!D$19</f>
        <v>0</v>
      </c>
      <c r="I18" s="105">
        <f>'Trip (9)'!D$17</f>
        <v>0</v>
      </c>
      <c r="J18" s="106">
        <f t="shared" si="2"/>
        <v>0</v>
      </c>
      <c r="K18" s="107">
        <f t="shared" si="3"/>
        <v>-37</v>
      </c>
      <c r="L18" s="47"/>
      <c r="M18" s="47"/>
    </row>
    <row r="19" spans="2:13" x14ac:dyDescent="0.25">
      <c r="B19" s="52" t="s">
        <v>27</v>
      </c>
      <c r="C19" s="45">
        <f>'Trip (10)'!K$17</f>
        <v>0</v>
      </c>
      <c r="D19" s="45">
        <f>'Trip (10)'!D$9</f>
        <v>0</v>
      </c>
      <c r="E19" s="102">
        <f>'Trip (10)'!D$13</f>
        <v>0</v>
      </c>
      <c r="F19" s="48">
        <f>'Trip (10)'!K$11</f>
        <v>0</v>
      </c>
      <c r="G19" s="46" t="str">
        <f>'Trip (10)'!K$13</f>
        <v>-</v>
      </c>
      <c r="H19" s="104">
        <f>'Trip (10)'!D$19</f>
        <v>0</v>
      </c>
      <c r="I19" s="105">
        <f>'Trip (10)'!D$17</f>
        <v>0</v>
      </c>
      <c r="J19" s="106">
        <f t="shared" si="2"/>
        <v>0</v>
      </c>
      <c r="K19" s="107">
        <f t="shared" si="3"/>
        <v>-37</v>
      </c>
      <c r="L19" s="47"/>
      <c r="M19" s="47"/>
    </row>
    <row r="20" spans="2:13" x14ac:dyDescent="0.25">
      <c r="B20" s="53" t="s">
        <v>28</v>
      </c>
      <c r="C20" s="45">
        <f>'Trip (11)'!K$17</f>
        <v>0</v>
      </c>
      <c r="D20" s="45">
        <f>'Trip (11)'!D$9</f>
        <v>0</v>
      </c>
      <c r="E20" s="102">
        <f>'Trip (11)'!D$13</f>
        <v>0</v>
      </c>
      <c r="F20" s="48">
        <f>'Trip (11)'!K$11</f>
        <v>0</v>
      </c>
      <c r="G20" s="46" t="str">
        <f>'Trip (11)'!K$13</f>
        <v>-</v>
      </c>
      <c r="H20" s="104">
        <f>'Trip (11)'!D$19</f>
        <v>0</v>
      </c>
      <c r="I20" s="105">
        <f>'Trip (11)'!D$17</f>
        <v>0</v>
      </c>
      <c r="J20" s="106">
        <f t="shared" si="2"/>
        <v>0</v>
      </c>
      <c r="K20" s="107">
        <f t="shared" si="3"/>
        <v>-37</v>
      </c>
      <c r="L20" s="47"/>
      <c r="M20" s="47"/>
    </row>
    <row r="21" spans="2:13" x14ac:dyDescent="0.25">
      <c r="B21" s="52" t="s">
        <v>29</v>
      </c>
      <c r="C21" s="45">
        <f>'Trip (12)'!K$17</f>
        <v>0</v>
      </c>
      <c r="D21" s="45">
        <f>'Trip (12)'!D$9</f>
        <v>0</v>
      </c>
      <c r="E21" s="102">
        <f>'Trip (12)'!D$13</f>
        <v>0</v>
      </c>
      <c r="F21" s="48">
        <f>'Trip (12)'!K$11</f>
        <v>0</v>
      </c>
      <c r="G21" s="46" t="str">
        <f>'Trip (12)'!K$13</f>
        <v>-</v>
      </c>
      <c r="H21" s="104">
        <f>'Trip (12)'!D$19</f>
        <v>0</v>
      </c>
      <c r="I21" s="105">
        <f>'Trip (12)'!D$17</f>
        <v>0</v>
      </c>
      <c r="J21" s="106">
        <f t="shared" si="2"/>
        <v>0</v>
      </c>
      <c r="K21" s="107">
        <f t="shared" si="3"/>
        <v>-37</v>
      </c>
      <c r="L21" s="47"/>
      <c r="M21" s="47"/>
    </row>
    <row r="22" spans="2:13" x14ac:dyDescent="0.25">
      <c r="B22" s="52" t="s">
        <v>30</v>
      </c>
      <c r="C22" s="45">
        <f>'Trip (13)'!K$17</f>
        <v>0</v>
      </c>
      <c r="D22" s="45">
        <f>'Trip (13)'!D$9</f>
        <v>0</v>
      </c>
      <c r="E22" s="102">
        <f>'Trip (13)'!D$13</f>
        <v>0</v>
      </c>
      <c r="F22" s="48">
        <f>'Trip (13)'!K$11</f>
        <v>0</v>
      </c>
      <c r="G22" s="46" t="str">
        <f>'Trip (13)'!K$13</f>
        <v>-</v>
      </c>
      <c r="H22" s="104">
        <f>'Trip (13)'!D$19</f>
        <v>0</v>
      </c>
      <c r="I22" s="105">
        <f>'Trip (13)'!D$17</f>
        <v>0</v>
      </c>
      <c r="J22" s="106">
        <f t="shared" ref="J22:J39" si="4">H22-I22</f>
        <v>0</v>
      </c>
      <c r="K22" s="107">
        <f t="shared" si="3"/>
        <v>-37</v>
      </c>
      <c r="L22" s="47"/>
      <c r="M22" s="47"/>
    </row>
    <row r="23" spans="2:13" x14ac:dyDescent="0.25">
      <c r="B23" s="52" t="s">
        <v>31</v>
      </c>
      <c r="C23" s="45">
        <f>'Trip (14)'!K$17</f>
        <v>0</v>
      </c>
      <c r="D23" s="45">
        <f>'Trip (14)'!D$9</f>
        <v>0</v>
      </c>
      <c r="E23" s="102">
        <f>'Trip (14)'!D$13</f>
        <v>0</v>
      </c>
      <c r="F23" s="48">
        <f>'Trip (14)'!K$11</f>
        <v>0</v>
      </c>
      <c r="G23" s="46" t="str">
        <f>'Trip (14)'!K$13</f>
        <v>-</v>
      </c>
      <c r="H23" s="104">
        <f>'Trip (14)'!D$19</f>
        <v>0</v>
      </c>
      <c r="I23" s="105">
        <f>'Trip (14)'!D$17</f>
        <v>0</v>
      </c>
      <c r="J23" s="106">
        <f t="shared" si="4"/>
        <v>0</v>
      </c>
      <c r="K23" s="107">
        <f t="shared" si="3"/>
        <v>-37</v>
      </c>
      <c r="L23" s="47"/>
      <c r="M23" s="47"/>
    </row>
    <row r="24" spans="2:13" x14ac:dyDescent="0.25">
      <c r="B24" s="52" t="s">
        <v>32</v>
      </c>
      <c r="C24" s="45">
        <f>'Trip (15)'!K$17</f>
        <v>0</v>
      </c>
      <c r="D24" s="45">
        <f>'Trip (15)'!D$9</f>
        <v>0</v>
      </c>
      <c r="E24" s="102">
        <f>'Trip (15)'!D$13</f>
        <v>0</v>
      </c>
      <c r="F24" s="48">
        <f>'Trip (15)'!K$11</f>
        <v>0</v>
      </c>
      <c r="G24" s="46" t="str">
        <f>'Trip (15)'!K$13</f>
        <v>-</v>
      </c>
      <c r="H24" s="104">
        <f>'Trip (15)'!D$19</f>
        <v>0</v>
      </c>
      <c r="I24" s="105">
        <f>'Trip (15)'!D$17</f>
        <v>0</v>
      </c>
      <c r="J24" s="106">
        <f t="shared" si="4"/>
        <v>0</v>
      </c>
      <c r="K24" s="107">
        <f t="shared" si="3"/>
        <v>-37</v>
      </c>
      <c r="L24" s="47"/>
      <c r="M24" s="47"/>
    </row>
    <row r="25" spans="2:13" x14ac:dyDescent="0.25">
      <c r="B25" s="52" t="s">
        <v>33</v>
      </c>
      <c r="C25" s="45">
        <f>'Trip (16)'!K$17</f>
        <v>0</v>
      </c>
      <c r="D25" s="45">
        <f>'Trip (16)'!D$9</f>
        <v>0</v>
      </c>
      <c r="E25" s="102">
        <f>'Trip (16)'!D$13</f>
        <v>0</v>
      </c>
      <c r="F25" s="48">
        <f>'Trip (16)'!K$11</f>
        <v>0</v>
      </c>
      <c r="G25" s="46" t="str">
        <f>'Trip (16)'!K$13</f>
        <v>-</v>
      </c>
      <c r="H25" s="104">
        <f>'Trip (16)'!D$19</f>
        <v>0</v>
      </c>
      <c r="I25" s="105">
        <f>'Trip (16)'!D$17</f>
        <v>0</v>
      </c>
      <c r="J25" s="106">
        <f t="shared" si="4"/>
        <v>0</v>
      </c>
      <c r="K25" s="107">
        <f t="shared" si="3"/>
        <v>-37</v>
      </c>
      <c r="L25" s="47"/>
      <c r="M25" s="47"/>
    </row>
    <row r="26" spans="2:13" x14ac:dyDescent="0.25">
      <c r="B26" s="99" t="s">
        <v>34</v>
      </c>
      <c r="C26" s="45">
        <f>'Trip (17)'!K$17</f>
        <v>0</v>
      </c>
      <c r="D26" s="45">
        <f>'Trip (17)'!D$9</f>
        <v>0</v>
      </c>
      <c r="E26" s="102">
        <f>'Trip (17)'!D$13</f>
        <v>0</v>
      </c>
      <c r="F26" s="48">
        <f>'Trip (17)'!K$11</f>
        <v>0</v>
      </c>
      <c r="G26" s="46" t="str">
        <f>'Trip (17)'!K$13</f>
        <v>-</v>
      </c>
      <c r="H26" s="104">
        <f>'Trip (17)'!D$19</f>
        <v>0</v>
      </c>
      <c r="I26" s="105">
        <f>'Trip (17)'!D$17</f>
        <v>0</v>
      </c>
      <c r="J26" s="106">
        <f t="shared" si="4"/>
        <v>0</v>
      </c>
      <c r="K26" s="107">
        <f t="shared" si="3"/>
        <v>-37</v>
      </c>
      <c r="L26" s="47"/>
      <c r="M26" s="47"/>
    </row>
    <row r="27" spans="2:13" x14ac:dyDescent="0.25">
      <c r="B27" s="100" t="s">
        <v>35</v>
      </c>
      <c r="C27" s="45">
        <f>'Trip (18)'!K$17</f>
        <v>0</v>
      </c>
      <c r="D27" s="45">
        <f>'Trip (18)'!D$9</f>
        <v>0</v>
      </c>
      <c r="E27" s="102">
        <f>'Trip (18)'!D$13</f>
        <v>0</v>
      </c>
      <c r="F27" s="48">
        <f>'Trip (18)'!K$11</f>
        <v>0</v>
      </c>
      <c r="G27" s="46" t="str">
        <f>'Trip (18)'!K$13</f>
        <v>-</v>
      </c>
      <c r="H27" s="104">
        <f>'Trip (18)'!D$19</f>
        <v>0</v>
      </c>
      <c r="I27" s="105">
        <f>'Trip (18)'!D$17</f>
        <v>0</v>
      </c>
      <c r="J27" s="106">
        <f t="shared" si="4"/>
        <v>0</v>
      </c>
      <c r="K27" s="107">
        <f t="shared" si="3"/>
        <v>-37</v>
      </c>
      <c r="L27" s="47"/>
      <c r="M27" s="47"/>
    </row>
    <row r="28" spans="2:13" x14ac:dyDescent="0.25">
      <c r="B28" s="99" t="s">
        <v>36</v>
      </c>
      <c r="C28" s="45">
        <f>'Trip (19)'!K$17</f>
        <v>0</v>
      </c>
      <c r="D28" s="45">
        <f>'Trip (19)'!D$9</f>
        <v>0</v>
      </c>
      <c r="E28" s="102">
        <f>'Trip (19)'!D$13</f>
        <v>0</v>
      </c>
      <c r="F28" s="48">
        <f>'Trip (19)'!K$11</f>
        <v>0</v>
      </c>
      <c r="G28" s="46" t="str">
        <f>'Trip (19)'!K$13</f>
        <v>-</v>
      </c>
      <c r="H28" s="104">
        <f>'Trip (19)'!D$19</f>
        <v>0</v>
      </c>
      <c r="I28" s="105">
        <f>'Trip (19)'!D$17</f>
        <v>0</v>
      </c>
      <c r="J28" s="106">
        <f t="shared" si="4"/>
        <v>0</v>
      </c>
      <c r="K28" s="107">
        <f t="shared" si="3"/>
        <v>-37</v>
      </c>
      <c r="L28" s="47"/>
      <c r="M28" s="47"/>
    </row>
    <row r="29" spans="2:13" x14ac:dyDescent="0.25">
      <c r="B29" s="118" t="s">
        <v>37</v>
      </c>
      <c r="C29" s="45">
        <f>'Trip (20)'!K$17</f>
        <v>0</v>
      </c>
      <c r="D29" s="45">
        <f>'Trip (20)'!D$9</f>
        <v>0</v>
      </c>
      <c r="E29" s="102">
        <f>'Trip (20)'!D$13</f>
        <v>0</v>
      </c>
      <c r="F29" s="48">
        <f>'Trip (20)'!K$11</f>
        <v>0</v>
      </c>
      <c r="G29" s="46" t="str">
        <f>'Trip (20)'!K$13</f>
        <v>-</v>
      </c>
      <c r="H29" s="104">
        <f>'Trip (20)'!D$19</f>
        <v>0</v>
      </c>
      <c r="I29" s="105">
        <f>'Trip (20)'!D$17</f>
        <v>0</v>
      </c>
      <c r="J29" s="106">
        <f t="shared" si="4"/>
        <v>0</v>
      </c>
      <c r="K29" s="107">
        <f t="shared" si="3"/>
        <v>-37</v>
      </c>
      <c r="L29" s="47"/>
      <c r="M29" s="47"/>
    </row>
    <row r="30" spans="2:13" x14ac:dyDescent="0.25">
      <c r="B30" s="118" t="s">
        <v>52</v>
      </c>
      <c r="C30" s="45">
        <f>'Trip (21)'!K$17</f>
        <v>0</v>
      </c>
      <c r="D30" s="45">
        <f>'Trip (21)'!D$9</f>
        <v>0</v>
      </c>
      <c r="E30" s="102">
        <f>'Trip (21)'!D$13</f>
        <v>0</v>
      </c>
      <c r="F30" s="48">
        <f>'Trip (21)'!K$11</f>
        <v>0</v>
      </c>
      <c r="G30" s="46" t="str">
        <f>'Trip (21)'!K$13</f>
        <v>-</v>
      </c>
      <c r="H30" s="104">
        <f>'Trip (21)'!D$19</f>
        <v>0</v>
      </c>
      <c r="I30" s="105">
        <f>'Trip (21)'!D$17</f>
        <v>0</v>
      </c>
      <c r="J30" s="106">
        <f t="shared" si="4"/>
        <v>0</v>
      </c>
      <c r="K30" s="107">
        <f t="shared" si="3"/>
        <v>-37</v>
      </c>
      <c r="L30" s="50"/>
      <c r="M30" s="50"/>
    </row>
    <row r="31" spans="2:13" x14ac:dyDescent="0.25">
      <c r="B31" s="118" t="s">
        <v>53</v>
      </c>
      <c r="C31" s="45">
        <f>'Trip (22)'!K$17</f>
        <v>0</v>
      </c>
      <c r="D31" s="45">
        <f>'Trip (22)'!D$9</f>
        <v>0</v>
      </c>
      <c r="E31" s="102">
        <f>'Trip (22)'!D$13</f>
        <v>0</v>
      </c>
      <c r="F31" s="48">
        <f>'Trip (22)'!K$11</f>
        <v>0</v>
      </c>
      <c r="G31" s="46" t="str">
        <f>'Trip (22)'!K$13</f>
        <v>-</v>
      </c>
      <c r="H31" s="104">
        <f>'Trip (22)'!D$19</f>
        <v>0</v>
      </c>
      <c r="I31" s="105">
        <f>'Trip (22)'!D$17</f>
        <v>0</v>
      </c>
      <c r="J31" s="106">
        <f t="shared" si="4"/>
        <v>0</v>
      </c>
      <c r="K31" s="107">
        <f t="shared" si="3"/>
        <v>-37</v>
      </c>
    </row>
    <row r="32" spans="2:13" ht="15.75" customHeight="1" x14ac:dyDescent="0.25">
      <c r="B32" s="118" t="s">
        <v>54</v>
      </c>
      <c r="C32" s="45">
        <f>'Trip (23)'!K$17</f>
        <v>0</v>
      </c>
      <c r="D32" s="45">
        <f>'Trip (23)'!D$9</f>
        <v>0</v>
      </c>
      <c r="E32" s="102">
        <f>'Trip (23)'!D$13</f>
        <v>0</v>
      </c>
      <c r="F32" s="48">
        <f>'Trip (23)'!K$11</f>
        <v>0</v>
      </c>
      <c r="G32" s="46" t="str">
        <f>'Trip (23)'!K$13</f>
        <v>-</v>
      </c>
      <c r="H32" s="104">
        <f>'Trip (23)'!D$19</f>
        <v>0</v>
      </c>
      <c r="I32" s="105">
        <f>'Trip (23)'!D$17</f>
        <v>0</v>
      </c>
      <c r="J32" s="106">
        <f t="shared" si="4"/>
        <v>0</v>
      </c>
      <c r="K32" s="107">
        <f t="shared" si="3"/>
        <v>-37</v>
      </c>
      <c r="L32" s="17"/>
      <c r="M32" s="17"/>
    </row>
    <row r="33" spans="2:13" ht="15.75" customHeight="1" x14ac:dyDescent="0.5">
      <c r="B33" s="118" t="s">
        <v>55</v>
      </c>
      <c r="C33" s="45">
        <f>'Trip (24)'!K$17</f>
        <v>0</v>
      </c>
      <c r="D33" s="45">
        <f>'Trip (24)'!D$9</f>
        <v>0</v>
      </c>
      <c r="E33" s="102">
        <f>'Trip (24)'!D$13</f>
        <v>0</v>
      </c>
      <c r="F33" s="48">
        <f>'Trip (24)'!K$11</f>
        <v>0</v>
      </c>
      <c r="G33" s="46" t="str">
        <f>'Trip (24)'!K$13</f>
        <v>-</v>
      </c>
      <c r="H33" s="104">
        <f>'Trip (24)'!D$19</f>
        <v>0</v>
      </c>
      <c r="I33" s="105">
        <f>'Trip (24)'!D$17</f>
        <v>0</v>
      </c>
      <c r="J33" s="106">
        <f t="shared" si="4"/>
        <v>0</v>
      </c>
      <c r="K33" s="107">
        <f t="shared" si="3"/>
        <v>-37</v>
      </c>
      <c r="L33" s="51"/>
      <c r="M33" s="51"/>
    </row>
    <row r="34" spans="2:13" ht="15.75" customHeight="1" x14ac:dyDescent="0.5">
      <c r="B34" s="118" t="s">
        <v>56</v>
      </c>
      <c r="C34" s="45">
        <f>'Trip (25)'!K$17</f>
        <v>0</v>
      </c>
      <c r="D34" s="45">
        <f>'Trip (25)'!D$9</f>
        <v>0</v>
      </c>
      <c r="E34" s="102">
        <f>'Trip (25)'!D$13</f>
        <v>0</v>
      </c>
      <c r="F34" s="48">
        <f>'Trip (25)'!K$11</f>
        <v>0</v>
      </c>
      <c r="G34" s="46" t="str">
        <f>'Trip (25)'!K$13</f>
        <v>-</v>
      </c>
      <c r="H34" s="104">
        <f>'Trip (25)'!D$19</f>
        <v>0</v>
      </c>
      <c r="I34" s="105">
        <f>'Trip (25)'!D$17</f>
        <v>0</v>
      </c>
      <c r="J34" s="106">
        <f t="shared" si="4"/>
        <v>0</v>
      </c>
      <c r="K34" s="107">
        <f t="shared" si="3"/>
        <v>-37</v>
      </c>
      <c r="L34" s="51"/>
      <c r="M34" s="51"/>
    </row>
    <row r="35" spans="2:13" x14ac:dyDescent="0.25">
      <c r="B35" s="118" t="s">
        <v>57</v>
      </c>
      <c r="C35" s="45">
        <f>'Trip (26)'!K$17</f>
        <v>0</v>
      </c>
      <c r="D35" s="45">
        <f>'Trip (26)'!D$9</f>
        <v>0</v>
      </c>
      <c r="E35" s="102">
        <f>'Trip (26)'!D$13</f>
        <v>0</v>
      </c>
      <c r="F35" s="48">
        <f>'Trip (26)'!K$11</f>
        <v>0</v>
      </c>
      <c r="G35" s="46" t="str">
        <f>'Trip (26)'!K$13</f>
        <v>-</v>
      </c>
      <c r="H35" s="104">
        <f>'Trip (26)'!D$19</f>
        <v>0</v>
      </c>
      <c r="I35" s="105">
        <f>'Trip (26)'!D$17</f>
        <v>0</v>
      </c>
      <c r="J35" s="106">
        <f t="shared" si="4"/>
        <v>0</v>
      </c>
      <c r="K35" s="107">
        <f t="shared" si="3"/>
        <v>-37</v>
      </c>
    </row>
    <row r="36" spans="2:13" x14ac:dyDescent="0.25">
      <c r="B36" s="118" t="s">
        <v>58</v>
      </c>
      <c r="C36" s="45">
        <f>'Trip (27)'!K$17</f>
        <v>0</v>
      </c>
      <c r="D36" s="45">
        <f>'Trip (27)'!D$9</f>
        <v>0</v>
      </c>
      <c r="E36" s="102">
        <f>'Trip (27)'!D$13</f>
        <v>0</v>
      </c>
      <c r="F36" s="48">
        <f>'Trip (27)'!K$11</f>
        <v>0</v>
      </c>
      <c r="G36" s="46" t="str">
        <f>'Trip (27)'!K$13</f>
        <v>-</v>
      </c>
      <c r="H36" s="104">
        <f>'Trip (27)'!D$19</f>
        <v>0</v>
      </c>
      <c r="I36" s="105">
        <f>'Trip (27)'!D$17</f>
        <v>0</v>
      </c>
      <c r="J36" s="106">
        <f t="shared" si="4"/>
        <v>0</v>
      </c>
      <c r="K36" s="107">
        <f t="shared" si="3"/>
        <v>-37</v>
      </c>
    </row>
    <row r="37" spans="2:13" x14ac:dyDescent="0.25">
      <c r="B37" s="118" t="s">
        <v>59</v>
      </c>
      <c r="C37" s="45">
        <f>'Trip (28)'!K$17</f>
        <v>0</v>
      </c>
      <c r="D37" s="45">
        <f>'Trip (28)'!D$9</f>
        <v>0</v>
      </c>
      <c r="E37" s="102">
        <f>'Trip (28)'!D$13</f>
        <v>0</v>
      </c>
      <c r="F37" s="48">
        <f>'Trip (28)'!K$11</f>
        <v>0</v>
      </c>
      <c r="G37" s="46" t="str">
        <f>'Trip (28)'!K$13</f>
        <v>-</v>
      </c>
      <c r="H37" s="104">
        <f>'Trip (28)'!D$19</f>
        <v>0</v>
      </c>
      <c r="I37" s="105">
        <f>'Trip (28)'!D$17</f>
        <v>0</v>
      </c>
      <c r="J37" s="106">
        <f t="shared" si="4"/>
        <v>0</v>
      </c>
      <c r="K37" s="107">
        <f t="shared" si="3"/>
        <v>-37</v>
      </c>
    </row>
    <row r="38" spans="2:13" x14ac:dyDescent="0.25">
      <c r="B38" s="118" t="s">
        <v>60</v>
      </c>
      <c r="C38" s="45">
        <f>'Trip (29)'!K$17</f>
        <v>0</v>
      </c>
      <c r="D38" s="45">
        <f>'Trip (29)'!D$9</f>
        <v>0</v>
      </c>
      <c r="E38" s="102">
        <f>'Trip (29)'!D$13</f>
        <v>0</v>
      </c>
      <c r="F38" s="48">
        <f>'Trip (29)'!K$11</f>
        <v>0</v>
      </c>
      <c r="G38" s="46" t="str">
        <f>'Trip (29)'!K$13</f>
        <v>-</v>
      </c>
      <c r="H38" s="104">
        <f>'Trip (29)'!D$19</f>
        <v>0</v>
      </c>
      <c r="I38" s="105">
        <f>'Trip (29)'!D$17</f>
        <v>0</v>
      </c>
      <c r="J38" s="106">
        <f t="shared" si="4"/>
        <v>0</v>
      </c>
      <c r="K38" s="107">
        <f t="shared" si="3"/>
        <v>-37</v>
      </c>
    </row>
    <row r="39" spans="2:13" ht="15.75" thickBot="1" x14ac:dyDescent="0.3">
      <c r="B39" s="98" t="s">
        <v>61</v>
      </c>
      <c r="C39" s="101">
        <f>'Trip (30)'!K$17</f>
        <v>0</v>
      </c>
      <c r="D39" s="101">
        <f>'Trip (30)'!D$9</f>
        <v>0</v>
      </c>
      <c r="E39" s="103">
        <f>'Trip (30)'!D$13</f>
        <v>0</v>
      </c>
      <c r="F39" s="54">
        <f>'Trip (30)'!K$11</f>
        <v>0</v>
      </c>
      <c r="G39" s="55" t="str">
        <f>'Trip (30)'!K$13</f>
        <v>-</v>
      </c>
      <c r="H39" s="108">
        <f>'Trip (30)'!D$19</f>
        <v>0</v>
      </c>
      <c r="I39" s="109">
        <f>'Trip (30)'!D$17</f>
        <v>0</v>
      </c>
      <c r="J39" s="110">
        <f t="shared" si="4"/>
        <v>0</v>
      </c>
      <c r="K39" s="111">
        <f t="shared" si="3"/>
        <v>-37</v>
      </c>
    </row>
    <row r="40" spans="2:13" x14ac:dyDescent="0.25">
      <c r="C40" s="90"/>
      <c r="D40" s="90"/>
      <c r="E40" s="96"/>
      <c r="F40" s="90"/>
      <c r="G40" s="90"/>
      <c r="H40" s="97"/>
      <c r="I40" s="97"/>
      <c r="J40" s="47"/>
      <c r="K40" s="47"/>
    </row>
    <row r="41" spans="2:13" x14ac:dyDescent="0.25">
      <c r="C41" s="90"/>
      <c r="D41" s="90"/>
      <c r="E41" s="96"/>
      <c r="F41" s="90"/>
      <c r="G41" s="90"/>
      <c r="H41" s="97"/>
      <c r="I41" s="97"/>
      <c r="J41" s="47"/>
      <c r="K41" s="47"/>
    </row>
    <row r="42" spans="2:13" x14ac:dyDescent="0.25">
      <c r="C42" s="90"/>
      <c r="D42" s="90"/>
      <c r="E42" s="96"/>
      <c r="F42" s="90"/>
      <c r="G42" s="90"/>
      <c r="H42" s="97"/>
      <c r="I42" s="97"/>
      <c r="J42" s="47"/>
      <c r="K42" s="47"/>
    </row>
    <row r="43" spans="2:13" x14ac:dyDescent="0.25">
      <c r="C43" s="90"/>
      <c r="D43" s="90"/>
      <c r="E43" s="96"/>
      <c r="F43" s="90"/>
      <c r="G43" s="90"/>
      <c r="H43" s="97"/>
      <c r="I43" s="97"/>
      <c r="J43" s="47"/>
      <c r="K43" s="47"/>
    </row>
    <row r="44" spans="2:13" x14ac:dyDescent="0.25">
      <c r="C44" s="90"/>
      <c r="D44" s="90"/>
      <c r="E44" s="96"/>
      <c r="F44" s="90"/>
      <c r="G44" s="90"/>
      <c r="H44" s="97"/>
      <c r="I44" s="97"/>
      <c r="J44" s="47"/>
      <c r="K44" s="47"/>
    </row>
    <row r="45" spans="2:13" x14ac:dyDescent="0.25">
      <c r="C45" s="90"/>
      <c r="D45" s="90"/>
      <c r="E45" s="96"/>
      <c r="F45" s="90"/>
      <c r="G45" s="90"/>
      <c r="H45" s="97"/>
      <c r="I45" s="97"/>
      <c r="J45" s="47"/>
      <c r="K45" s="47"/>
    </row>
    <row r="46" spans="2:13" x14ac:dyDescent="0.25">
      <c r="C46" s="90"/>
      <c r="D46" s="90"/>
      <c r="E46" s="96"/>
      <c r="F46" s="90"/>
      <c r="G46" s="90"/>
      <c r="H46" s="97"/>
      <c r="I46" s="97"/>
      <c r="J46" s="47"/>
      <c r="K46" s="47"/>
    </row>
    <row r="47" spans="2:13" x14ac:dyDescent="0.25">
      <c r="C47" s="19"/>
      <c r="D47" s="47"/>
      <c r="E47" s="19"/>
      <c r="F47" s="19"/>
      <c r="G47" s="47"/>
      <c r="H47" s="19"/>
      <c r="I47" s="19"/>
      <c r="J47" s="19"/>
      <c r="K47" s="19"/>
    </row>
    <row r="48" spans="2:13" x14ac:dyDescent="0.25">
      <c r="D48" s="16"/>
      <c r="G48" s="16"/>
    </row>
    <row r="49" spans="4:7" x14ac:dyDescent="0.25">
      <c r="D49" s="16"/>
      <c r="G49" s="16"/>
    </row>
    <row r="50" spans="4:7" x14ac:dyDescent="0.25">
      <c r="D50" s="16"/>
      <c r="G50" s="16"/>
    </row>
    <row r="51" spans="4:7" x14ac:dyDescent="0.25">
      <c r="D51" s="16"/>
      <c r="G51" s="16"/>
    </row>
    <row r="52" spans="4:7" x14ac:dyDescent="0.25">
      <c r="D52" s="16"/>
      <c r="G52" s="16"/>
    </row>
    <row r="53" spans="4:7" x14ac:dyDescent="0.25">
      <c r="D53" s="16"/>
      <c r="G53" s="16"/>
    </row>
    <row r="54" spans="4:7" x14ac:dyDescent="0.25">
      <c r="D54" s="16"/>
      <c r="G54" s="16"/>
    </row>
    <row r="55" spans="4:7" x14ac:dyDescent="0.25">
      <c r="D55" s="16"/>
      <c r="G55" s="16"/>
    </row>
    <row r="56" spans="4:7" x14ac:dyDescent="0.25">
      <c r="D56" s="16"/>
    </row>
    <row r="57" spans="4:7" x14ac:dyDescent="0.25">
      <c r="D57" s="16"/>
    </row>
  </sheetData>
  <conditionalFormatting sqref="L10:M29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{4951ECA6-13C6-4098-897D-400B5871A868}</x14:id>
        </ext>
      </extLst>
    </cfRule>
  </conditionalFormatting>
  <conditionalFormatting sqref="J10:J46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{C7311772-36AB-46F3-9A40-D9D3B22A3248}</x14:id>
        </ext>
      </extLst>
    </cfRule>
  </conditionalFormatting>
  <conditionalFormatting sqref="E10:E39">
    <cfRule type="cellIs" dxfId="0" priority="1" operator="equal">
      <formula>0</formula>
    </cfRule>
  </conditionalFormatting>
  <hyperlinks>
    <hyperlink ref="B10" location="'Trip (1)'!A1" display="Trip 1" xr:uid="{00000000-0004-0000-0000-000000000000}"/>
    <hyperlink ref="B11" location="'Trip (2)'!A1" display="Trip 2" xr:uid="{00000000-0004-0000-0000-000001000000}"/>
    <hyperlink ref="B12" location="'Trip (3)'!A1" display="Trip 3" xr:uid="{00000000-0004-0000-0000-000002000000}"/>
    <hyperlink ref="B13" location="'Trip (4)'!A1" display="Trip 4" xr:uid="{00000000-0004-0000-0000-000003000000}"/>
    <hyperlink ref="B14" location="'Trip (5)'!A1" display="Trip 5" xr:uid="{00000000-0004-0000-0000-000004000000}"/>
    <hyperlink ref="B15" location="'Trip (6)'!A1" display="Trip 6" xr:uid="{00000000-0004-0000-0000-000005000000}"/>
    <hyperlink ref="B16" location="'Trip (7)'!A1" display="Trip 7" xr:uid="{00000000-0004-0000-0000-000006000000}"/>
    <hyperlink ref="B17" location="'Trip (8)'!A1" display="Trip 8" xr:uid="{00000000-0004-0000-0000-000007000000}"/>
    <hyperlink ref="B18" location="'Trip (9)'!A1" display="Trip 9" xr:uid="{00000000-0004-0000-0000-000008000000}"/>
    <hyperlink ref="B19" location="'Trip (10)'!A1" display="Trip 10" xr:uid="{00000000-0004-0000-0000-000009000000}"/>
    <hyperlink ref="B20" location="'Trip (11)'!A1" display="Trip 11" xr:uid="{00000000-0004-0000-0000-00000A000000}"/>
    <hyperlink ref="B21" location="'Trip (12)'!A1" display="Trip 12" xr:uid="{00000000-0004-0000-0000-00000B000000}"/>
    <hyperlink ref="B22" location="'Trip (13)'!A1" display="Trip 13" xr:uid="{00000000-0004-0000-0000-00000C000000}"/>
    <hyperlink ref="B23" location="'Trip (14)'!A1" display="Trip 14" xr:uid="{00000000-0004-0000-0000-00000D000000}"/>
    <hyperlink ref="B24" location="'Trip (15)'!A1" display="Trip 15" xr:uid="{00000000-0004-0000-0000-00000E000000}"/>
    <hyperlink ref="B25" location="'Trip (16)'!A1" display="Trip 16" xr:uid="{00000000-0004-0000-0000-00000F000000}"/>
    <hyperlink ref="B26" location="'Trip (17)'!A1" display="Trip 17" xr:uid="{00000000-0004-0000-0000-000010000000}"/>
    <hyperlink ref="B27" location="'Trip (18)'!A1" display="Trip 18" xr:uid="{00000000-0004-0000-0000-000011000000}"/>
    <hyperlink ref="B28" location="'Trip (19)'!A1" display="Trip 19" xr:uid="{00000000-0004-0000-0000-000012000000}"/>
    <hyperlink ref="B29" location="'Trip (20)'!A1" display="Trip 20" xr:uid="{00000000-0004-0000-0000-000013000000}"/>
    <hyperlink ref="B30:B39" location="'Trip (20)'!A1" display="Trip 20" xr:uid="{00000000-0004-0000-0000-000014000000}"/>
    <hyperlink ref="B30" location="'Trip (21)'!A1" display="Trip 21" xr:uid="{00000000-0004-0000-0000-000015000000}"/>
    <hyperlink ref="B31" location="'Trip (22)'!A1" display="Trip 22" xr:uid="{00000000-0004-0000-0000-000016000000}"/>
    <hyperlink ref="B32" location="'Trip (23)'!A1" display="Trip 23" xr:uid="{00000000-0004-0000-0000-000017000000}"/>
    <hyperlink ref="B33" location="'Trip (24)'!A1" display="Trip 24" xr:uid="{00000000-0004-0000-0000-000018000000}"/>
    <hyperlink ref="B34" location="'Trip (25)'!A1" display="Trip 25" xr:uid="{00000000-0004-0000-0000-000019000000}"/>
    <hyperlink ref="B35" location="'Trip (26)'!A1" display="Trip 26" xr:uid="{00000000-0004-0000-0000-00001A000000}"/>
    <hyperlink ref="B36" location="'Trip (27)'!A1" display="Trip 27" xr:uid="{00000000-0004-0000-0000-00001B000000}"/>
    <hyperlink ref="B37" location="'Trip (28)'!A1" display="Trip 28" xr:uid="{00000000-0004-0000-0000-00001C000000}"/>
    <hyperlink ref="B38" location="'Trip (29)'!A1" display="Trip 29" xr:uid="{00000000-0004-0000-0000-00001D000000}"/>
    <hyperlink ref="B39" location="'Trip (30)'!A1" display="Trip 30" xr:uid="{00000000-0004-0000-0000-00001E000000}"/>
  </hyperlinks>
  <pageMargins left="0.7" right="0.7" top="0.75" bottom="0.75" header="0.3" footer="0.3"/>
  <pageSetup paperSize="9" scale="4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51ECA6-13C6-4098-897D-400B5871A8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L10:M29</xm:sqref>
        </x14:conditionalFormatting>
        <x14:conditionalFormatting xmlns:xm="http://schemas.microsoft.com/office/excel/2006/main">
          <x14:cfRule type="dataBar" id="{C7311772-36AB-46F3-9A40-D9D3B22A3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J10:J46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pageSetUpPr fitToPage="1"/>
  </sheetPr>
  <dimension ref="A1:AE125"/>
  <sheetViews>
    <sheetView showGridLines="0" tabSelected="1" zoomScale="70" zoomScaleNormal="70" workbookViewId="0">
      <pane ySplit="13" topLeftCell="A14" activePane="bottomLeft" state="frozen"/>
      <selection pane="bottomLeft" activeCell="T32" sqref="T32:AE32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>Trip Name:  Example trip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 t="s">
        <v>78</v>
      </c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 t="s">
        <v>66</v>
      </c>
      <c r="E11" s="149"/>
      <c r="F11" s="149"/>
      <c r="G11" s="149"/>
      <c r="J11" s="11" t="s">
        <v>3</v>
      </c>
      <c r="K11" s="147" t="s">
        <v>79</v>
      </c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>
        <v>43176</v>
      </c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97</v>
      </c>
      <c r="F17" s="21"/>
      <c r="G17" s="21"/>
      <c r="H17" s="22"/>
      <c r="I17" s="22"/>
      <c r="J17" s="11" t="s">
        <v>7</v>
      </c>
      <c r="K17" s="150">
        <f>R25</f>
        <v>6</v>
      </c>
      <c r="L17" s="150"/>
      <c r="M17" s="150"/>
      <c r="R17" s="154"/>
    </row>
    <row r="18" spans="1:31" ht="5.25" customHeight="1" x14ac:dyDescent="0.25">
      <c r="B18" s="10"/>
      <c r="D18" s="5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60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32"/>
      <c r="D25" s="32" t="s">
        <v>14</v>
      </c>
      <c r="E25" s="37" t="s">
        <v>15</v>
      </c>
      <c r="F25" s="32" t="s">
        <v>13</v>
      </c>
      <c r="G25" s="32" t="s">
        <v>8</v>
      </c>
      <c r="H25" s="32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6</v>
      </c>
      <c r="S25" s="28">
        <f>SUM(S26:S77)</f>
        <v>60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 t="s">
        <v>67</v>
      </c>
      <c r="D26" s="153"/>
      <c r="E26" s="36">
        <v>2</v>
      </c>
      <c r="F26" s="30">
        <v>1</v>
      </c>
      <c r="G26" s="116">
        <v>36</v>
      </c>
      <c r="H26" s="121">
        <f>G26*E26*F26</f>
        <v>72</v>
      </c>
      <c r="I26" s="143" t="s">
        <v>77</v>
      </c>
      <c r="J26" s="143"/>
      <c r="K26" s="143"/>
      <c r="L26" s="143"/>
      <c r="M26" s="143"/>
      <c r="N26" s="143"/>
      <c r="P26" s="27">
        <v>1</v>
      </c>
      <c r="Q26" s="77" t="s">
        <v>69</v>
      </c>
      <c r="R26" s="80">
        <f>IF(Q26="","",IF(Q26="","",1))</f>
        <v>1</v>
      </c>
      <c r="S26" s="73">
        <v>10</v>
      </c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 t="s">
        <v>68</v>
      </c>
      <c r="D27" s="153"/>
      <c r="E27" s="36">
        <v>1</v>
      </c>
      <c r="F27" s="30">
        <v>1</v>
      </c>
      <c r="G27" s="116">
        <v>15</v>
      </c>
      <c r="H27" s="121">
        <f t="shared" ref="H27:H37" si="0">G27*E27*F27</f>
        <v>15</v>
      </c>
      <c r="I27" s="137" t="s">
        <v>80</v>
      </c>
      <c r="J27" s="137"/>
      <c r="K27" s="137"/>
      <c r="L27" s="137"/>
      <c r="M27" s="137"/>
      <c r="N27" s="137"/>
      <c r="P27" s="27">
        <v>2</v>
      </c>
      <c r="Q27" s="78" t="s">
        <v>70</v>
      </c>
      <c r="R27" s="81">
        <f t="shared" ref="R27:R90" si="1">IF(Q27="","",IF(Q27="","",1))</f>
        <v>1</v>
      </c>
      <c r="S27" s="74">
        <v>10</v>
      </c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 t="s">
        <v>76</v>
      </c>
      <c r="D28" s="153"/>
      <c r="E28" s="36">
        <v>1</v>
      </c>
      <c r="F28" s="30">
        <v>1</v>
      </c>
      <c r="G28" s="116">
        <v>10</v>
      </c>
      <c r="H28" s="121">
        <f t="shared" si="0"/>
        <v>10</v>
      </c>
      <c r="I28" s="137" t="s">
        <v>81</v>
      </c>
      <c r="J28" s="137"/>
      <c r="K28" s="137"/>
      <c r="L28" s="137"/>
      <c r="M28" s="137"/>
      <c r="N28" s="137"/>
      <c r="P28" s="27">
        <v>3</v>
      </c>
      <c r="Q28" s="78" t="s">
        <v>74</v>
      </c>
      <c r="R28" s="81">
        <f t="shared" si="1"/>
        <v>1</v>
      </c>
      <c r="S28" s="74">
        <v>10</v>
      </c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116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 t="s">
        <v>73</v>
      </c>
      <c r="R29" s="81">
        <f t="shared" si="1"/>
        <v>1</v>
      </c>
      <c r="S29" s="74">
        <v>10</v>
      </c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116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 t="s">
        <v>71</v>
      </c>
      <c r="R30" s="81">
        <f t="shared" si="1"/>
        <v>1</v>
      </c>
      <c r="S30" s="74">
        <v>10</v>
      </c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116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 t="s">
        <v>72</v>
      </c>
      <c r="R31" s="81">
        <f t="shared" si="1"/>
        <v>1</v>
      </c>
      <c r="S31" s="74">
        <v>10</v>
      </c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116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 t="s">
        <v>75</v>
      </c>
      <c r="R32" s="81">
        <v>0</v>
      </c>
      <c r="S32" s="74">
        <v>0</v>
      </c>
      <c r="T32" s="128" t="s">
        <v>82</v>
      </c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116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116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116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116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116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117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8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123">
        <f>SUM(H26:H38)</f>
        <v>97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8" t="s">
        <v>4</v>
      </c>
      <c r="F41" s="68" t="s">
        <v>17</v>
      </c>
      <c r="G41" s="68" t="s">
        <v>8</v>
      </c>
      <c r="H41" s="68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116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116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116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116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116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116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116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116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116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116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116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116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116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116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116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116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116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116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116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116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116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124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119"/>
      <c r="R125" s="82" t="str">
        <f t="shared" si="3"/>
        <v/>
      </c>
      <c r="S125" s="120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C32:D32"/>
    <mergeCell ref="C33:D33"/>
    <mergeCell ref="C34:D34"/>
    <mergeCell ref="C41:D41"/>
    <mergeCell ref="C39:D39"/>
    <mergeCell ref="I33:N33"/>
    <mergeCell ref="I34:N34"/>
    <mergeCell ref="I35:N35"/>
    <mergeCell ref="I36:N36"/>
    <mergeCell ref="I37:N37"/>
    <mergeCell ref="I38:N38"/>
    <mergeCell ref="K40:L40"/>
    <mergeCell ref="S23:S24"/>
    <mergeCell ref="C50:D50"/>
    <mergeCell ref="D9:M9"/>
    <mergeCell ref="K11:M11"/>
    <mergeCell ref="K19:M19"/>
    <mergeCell ref="D11:G11"/>
    <mergeCell ref="C45:D45"/>
    <mergeCell ref="C46:D46"/>
    <mergeCell ref="K17:M17"/>
    <mergeCell ref="K13:M13"/>
    <mergeCell ref="C26:D26"/>
    <mergeCell ref="R16:R24"/>
    <mergeCell ref="C35:D35"/>
    <mergeCell ref="C36:D36"/>
    <mergeCell ref="C37:D37"/>
    <mergeCell ref="C38:D38"/>
    <mergeCell ref="C27:D27"/>
    <mergeCell ref="C28:D28"/>
    <mergeCell ref="C29:D29"/>
    <mergeCell ref="C30:D30"/>
    <mergeCell ref="C31:D31"/>
    <mergeCell ref="C42:D42"/>
    <mergeCell ref="C43:D43"/>
    <mergeCell ref="C44:D44"/>
    <mergeCell ref="I31:N31"/>
    <mergeCell ref="I26:N26"/>
    <mergeCell ref="I27:N27"/>
    <mergeCell ref="I28:N28"/>
    <mergeCell ref="I29:N29"/>
    <mergeCell ref="I30:N30"/>
    <mergeCell ref="I43:N43"/>
    <mergeCell ref="I44:N44"/>
    <mergeCell ref="I45:N45"/>
    <mergeCell ref="I32:N32"/>
    <mergeCell ref="I42:N42"/>
    <mergeCell ref="I79:J79"/>
    <mergeCell ref="I73:J73"/>
    <mergeCell ref="I74:J74"/>
    <mergeCell ref="I75:J75"/>
    <mergeCell ref="I76:J76"/>
    <mergeCell ref="I78:J78"/>
    <mergeCell ref="I77:J77"/>
    <mergeCell ref="I70:J70"/>
    <mergeCell ref="I71:J71"/>
    <mergeCell ref="I72:J72"/>
    <mergeCell ref="I60:N60"/>
    <mergeCell ref="I61:N61"/>
    <mergeCell ref="I62:N62"/>
    <mergeCell ref="I46:N46"/>
    <mergeCell ref="I47:N47"/>
    <mergeCell ref="C57:D57"/>
    <mergeCell ref="C58:D58"/>
    <mergeCell ref="C59:D59"/>
    <mergeCell ref="C60:D60"/>
    <mergeCell ref="C47:D47"/>
    <mergeCell ref="I48:N48"/>
    <mergeCell ref="C54:D54"/>
    <mergeCell ref="C55:D55"/>
    <mergeCell ref="C56:D56"/>
    <mergeCell ref="C62:D62"/>
    <mergeCell ref="C52:D52"/>
    <mergeCell ref="C48:D48"/>
    <mergeCell ref="C49:D49"/>
    <mergeCell ref="C51:D51"/>
    <mergeCell ref="C61:D61"/>
    <mergeCell ref="C53:D53"/>
    <mergeCell ref="I68:J68"/>
    <mergeCell ref="I69:J69"/>
    <mergeCell ref="I64:K64"/>
    <mergeCell ref="I49:N49"/>
    <mergeCell ref="T26:AE26"/>
    <mergeCell ref="T27:AE27"/>
    <mergeCell ref="T28:AE28"/>
    <mergeCell ref="T29:AE29"/>
    <mergeCell ref="T30:AE30"/>
    <mergeCell ref="I54:N54"/>
    <mergeCell ref="I55:N55"/>
    <mergeCell ref="I56:N56"/>
    <mergeCell ref="I57:N57"/>
    <mergeCell ref="I58:N58"/>
    <mergeCell ref="M64:N64"/>
    <mergeCell ref="I50:N50"/>
    <mergeCell ref="I51:N51"/>
    <mergeCell ref="I52:N52"/>
    <mergeCell ref="I53:N53"/>
    <mergeCell ref="I59:N59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dataValidations count="1">
    <dataValidation type="whole" allowBlank="1" showInputMessage="1" showErrorMessage="1" sqref="E26:F38" xr:uid="{00000000-0002-0000-0100-000000000000}">
      <formula1>0</formula1>
      <formula2>1000</formula2>
    </dataValidation>
  </dataValidation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 activeCell="C42" sqref="C42:D42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/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116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116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116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116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116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116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116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116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116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116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116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116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117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8">
        <v>1</v>
      </c>
      <c r="G42" s="116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116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116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116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116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116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116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116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116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116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116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116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116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116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116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116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116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116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116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116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116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116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116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116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116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116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116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116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116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116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116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116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116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117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116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116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116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116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116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116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116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116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116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116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116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116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116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116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116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116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116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116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116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116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116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116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116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116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116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116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116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116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116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116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116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116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116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117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116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116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116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116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116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116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116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116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116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116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116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116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116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116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116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116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116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116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116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116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116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116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116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116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116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116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116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116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116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116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116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116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116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117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116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116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116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116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116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116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116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116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116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116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116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116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116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116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116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116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116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116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116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116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116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116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116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116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116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116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116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116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116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116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116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116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116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117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116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116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116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116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116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116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116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116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116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116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116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116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116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116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116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116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116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116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116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116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116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116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116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116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116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116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116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116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116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116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116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116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116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117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116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116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116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116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116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116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116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116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116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116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116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116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116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116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116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116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116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116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116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116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116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116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116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116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116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116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116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116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116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116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116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116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116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117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116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116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116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116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116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116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116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116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116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116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116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116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116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116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116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116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116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116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116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116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116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116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116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116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116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116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116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116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116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116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116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116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116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117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116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116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116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116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116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116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116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116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116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116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116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116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116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116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116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116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116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116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116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116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116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116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116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116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116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116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116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116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116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116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116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116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116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117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116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116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116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116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116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116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116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116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116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116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116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116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116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116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116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116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116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116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116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116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116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114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114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114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114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114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114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114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114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114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114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114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114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115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116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116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116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116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116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116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116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116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116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116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116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116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116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116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116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116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116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116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116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116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116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114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114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114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114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114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114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114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114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114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114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114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114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115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116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116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116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116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116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116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116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116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116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116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116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116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116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116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116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116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116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116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116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116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116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114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114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114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114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114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114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114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114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114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114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114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114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115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116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116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116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116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116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116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116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116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116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116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116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116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116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116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116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116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116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116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116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116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116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114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114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114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114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114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114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114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114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114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114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114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114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115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116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116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116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116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116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116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116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116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116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116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116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116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116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116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116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116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116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116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116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116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116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114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114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114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114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114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114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114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114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114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114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114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114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115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116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116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116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116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116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116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116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116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116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116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116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116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116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116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116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116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116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116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116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116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116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114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114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114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114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114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114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114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114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114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114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114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114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115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116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116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116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116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116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116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116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116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116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116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116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116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116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116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116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116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116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116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116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116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116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2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114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114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114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114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114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114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114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114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114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114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114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114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115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116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116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116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116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116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116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116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116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116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116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116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116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116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116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116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116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116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116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116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116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116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3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114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114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114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114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114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114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114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114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114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114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114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114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115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116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116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116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116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116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116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116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116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116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116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116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116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116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116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116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116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116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116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116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116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116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4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114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114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114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114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114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114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114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114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114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114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114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114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115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116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116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116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116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116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116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116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116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116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116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116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116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116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116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116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116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116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116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116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116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116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114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114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114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114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114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114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114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114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114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114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114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114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115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116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116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116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116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116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116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116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116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116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116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116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116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116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116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116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116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116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116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116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116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116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6">
    <pageSetUpPr fitToPage="1"/>
  </sheetPr>
  <dimension ref="A1:AE125"/>
  <sheetViews>
    <sheetView showGridLines="0" topLeftCell="R1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59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59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59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59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59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59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59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59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59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59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59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59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86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60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60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60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60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60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60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60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60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60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60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60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60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60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60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60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60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60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60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60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60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60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7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59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59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59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59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59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59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59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59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59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59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59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59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86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60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60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60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60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60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60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60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60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60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60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60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60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60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60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60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60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60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60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60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60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60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8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59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59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59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59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59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59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59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59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59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59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59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59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86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60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60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60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60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60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60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60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60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60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60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60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60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60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60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60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60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60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60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60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60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60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9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59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59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59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59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59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59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59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59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59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59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59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59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86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60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60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60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60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60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60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60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60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60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60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60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60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60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60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60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60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60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60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60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60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60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59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59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59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59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59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59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59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59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59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59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59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59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86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60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60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60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60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60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60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60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60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60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60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60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60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60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60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60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60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60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60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60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60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60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1">
    <pageSetUpPr fitToPage="1"/>
  </sheetPr>
  <dimension ref="A1:AE125"/>
  <sheetViews>
    <sheetView showGridLines="0" topLeftCell="R1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59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59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59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59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59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59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59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59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59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59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59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59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86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60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60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60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60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60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60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60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60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60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60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60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60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60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60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60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60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60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60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60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60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60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2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59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59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59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59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59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59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59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59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59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59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59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59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86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60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60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60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60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60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60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60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60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60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60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60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60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60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60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60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60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60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60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60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60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60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3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59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59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59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59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59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59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59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59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59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59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59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59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86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60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60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60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60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60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60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60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60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60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60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60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60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60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60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60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60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60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60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60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60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60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4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59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59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59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59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59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59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59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59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59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59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59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59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86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60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60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60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60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60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60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60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60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60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60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60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60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60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60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60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60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60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60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60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60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60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5">
    <pageSetUpPr fitToPage="1"/>
  </sheetPr>
  <dimension ref="A1:AE125"/>
  <sheetViews>
    <sheetView showGridLines="0" zoomScale="70" zoomScaleNormal="70" workbookViewId="0">
      <pane ySplit="13" topLeftCell="A14" activePane="bottomLeft" state="frozen"/>
      <selection pane="bottomLeft"/>
    </sheetView>
  </sheetViews>
  <sheetFormatPr defaultColWidth="9.140625" defaultRowHeight="15" x14ac:dyDescent="0.25"/>
  <cols>
    <col min="1" max="1" width="3" style="27" customWidth="1"/>
    <col min="2" max="2" width="8.85546875" style="27" customWidth="1"/>
    <col min="3" max="3" width="6.5703125" style="27" customWidth="1"/>
    <col min="4" max="4" width="27.5703125" style="27" customWidth="1"/>
    <col min="5" max="5" width="7.42578125" style="27" customWidth="1"/>
    <col min="6" max="6" width="5.28515625" style="27" customWidth="1"/>
    <col min="7" max="7" width="9.140625" style="27" customWidth="1"/>
    <col min="8" max="8" width="12.42578125" style="27" customWidth="1"/>
    <col min="9" max="9" width="5.7109375" style="27" customWidth="1"/>
    <col min="10" max="10" width="15.85546875" style="27" customWidth="1"/>
    <col min="11" max="12" width="9.140625" style="27"/>
    <col min="13" max="13" width="14.42578125" style="27" customWidth="1"/>
    <col min="14" max="14" width="10" style="27" customWidth="1"/>
    <col min="15" max="15" width="9.85546875" style="27" customWidth="1"/>
    <col min="16" max="16" width="9.140625" style="27" customWidth="1"/>
    <col min="17" max="17" width="20.5703125" style="27" customWidth="1"/>
    <col min="18" max="18" width="3.85546875" style="27" customWidth="1"/>
    <col min="19" max="19" width="12.5703125" style="27" customWidth="1"/>
    <col min="20" max="20" width="13.28515625" style="27" customWidth="1"/>
    <col min="21" max="16384" width="9.140625" style="27"/>
  </cols>
  <sheetData>
    <row r="1" spans="1:19" ht="7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9" ht="21" customHeight="1" x14ac:dyDescent="0.45">
      <c r="A2" s="15"/>
      <c r="B2" s="1"/>
      <c r="C2" s="1"/>
      <c r="D2" s="2"/>
      <c r="E2" s="1"/>
      <c r="F2" s="1"/>
      <c r="G2" s="1"/>
      <c r="H2" s="3" t="s">
        <v>47</v>
      </c>
      <c r="I2" s="3"/>
      <c r="J2" s="1"/>
      <c r="K2" s="1"/>
      <c r="L2" s="1"/>
      <c r="M2" s="1"/>
      <c r="N2" s="1"/>
      <c r="Q2" s="18"/>
      <c r="R2" s="75"/>
      <c r="S2" s="76"/>
    </row>
    <row r="3" spans="1:19" ht="5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R3" s="76"/>
      <c r="S3" s="76"/>
    </row>
    <row r="4" spans="1:19" ht="4.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R4" s="76"/>
      <c r="S4" s="76"/>
    </row>
    <row r="5" spans="1:19" s="6" customFormat="1" x14ac:dyDescent="0.25">
      <c r="A5" s="5" t="str">
        <f>CONCATENATE("Trip Name:  ",D9)</f>
        <v xml:space="preserve">Trip Name:  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R5" s="76"/>
      <c r="S5" s="76"/>
    </row>
    <row r="6" spans="1:19" ht="4.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R6" s="76"/>
      <c r="S6" s="76"/>
    </row>
    <row r="7" spans="1:19" ht="5.25" customHeight="1" x14ac:dyDescent="0.25">
      <c r="R7" s="76"/>
      <c r="S7" s="76"/>
    </row>
    <row r="8" spans="1:19" x14ac:dyDescent="0.25">
      <c r="B8" s="7" t="s">
        <v>0</v>
      </c>
      <c r="C8" s="26"/>
      <c r="D8" s="7" t="s">
        <v>1</v>
      </c>
      <c r="E8" s="8"/>
      <c r="F8" s="8"/>
      <c r="G8" s="8"/>
      <c r="P8" s="8"/>
      <c r="Q8" s="8"/>
      <c r="R8" s="76"/>
      <c r="S8" s="76"/>
    </row>
    <row r="9" spans="1:19" x14ac:dyDescent="0.25">
      <c r="B9" s="9"/>
      <c r="C9" s="11" t="s">
        <v>12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P9" s="8"/>
      <c r="Q9" s="8"/>
      <c r="R9" s="76"/>
      <c r="S9" s="76"/>
    </row>
    <row r="10" spans="1:19" ht="6" customHeight="1" x14ac:dyDescent="0.25">
      <c r="B10" s="10"/>
      <c r="R10" s="76"/>
      <c r="S10" s="76"/>
    </row>
    <row r="11" spans="1:19" x14ac:dyDescent="0.25">
      <c r="B11" s="10"/>
      <c r="C11" s="11" t="s">
        <v>2</v>
      </c>
      <c r="D11" s="149"/>
      <c r="E11" s="149"/>
      <c r="F11" s="149"/>
      <c r="G11" s="149"/>
      <c r="J11" s="11" t="s">
        <v>3</v>
      </c>
      <c r="K11" s="147"/>
      <c r="L11" s="147"/>
      <c r="M11" s="147"/>
      <c r="R11" s="76"/>
      <c r="S11" s="76"/>
    </row>
    <row r="12" spans="1:19" ht="6" customHeight="1" x14ac:dyDescent="0.25">
      <c r="B12" s="10"/>
    </row>
    <row r="13" spans="1:19" x14ac:dyDescent="0.25">
      <c r="B13" s="10"/>
      <c r="C13" s="11" t="s">
        <v>11</v>
      </c>
      <c r="D13" s="58"/>
      <c r="J13" s="11" t="s">
        <v>9</v>
      </c>
      <c r="K13" s="151" t="s">
        <v>45</v>
      </c>
      <c r="L13" s="151"/>
      <c r="M13" s="151"/>
      <c r="P13" s="8"/>
      <c r="Q13" s="23"/>
      <c r="R13" s="24"/>
    </row>
    <row r="14" spans="1:19" ht="16.5" customHeight="1" x14ac:dyDescent="0.25">
      <c r="A14" s="14"/>
      <c r="B14" s="10"/>
    </row>
    <row r="15" spans="1:19" ht="4.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19" ht="6" customHeight="1" x14ac:dyDescent="0.25">
      <c r="B16" s="10"/>
      <c r="R16" s="154" t="s">
        <v>51</v>
      </c>
    </row>
    <row r="17" spans="1:31" x14ac:dyDescent="0.25">
      <c r="B17" s="10"/>
      <c r="C17" s="11" t="s">
        <v>50</v>
      </c>
      <c r="D17" s="25">
        <f>H39+H63</f>
        <v>0</v>
      </c>
      <c r="F17" s="21"/>
      <c r="G17" s="21"/>
      <c r="H17" s="22"/>
      <c r="I17" s="22"/>
      <c r="J17" s="11" t="s">
        <v>7</v>
      </c>
      <c r="K17" s="150">
        <f>R25</f>
        <v>0</v>
      </c>
      <c r="L17" s="150"/>
      <c r="M17" s="150"/>
      <c r="R17" s="154"/>
    </row>
    <row r="18" spans="1:31" ht="5.25" customHeight="1" x14ac:dyDescent="0.25">
      <c r="B18" s="10"/>
      <c r="D18" s="67"/>
      <c r="F18" s="19"/>
      <c r="G18" s="19"/>
      <c r="H18" s="19"/>
      <c r="I18" s="19"/>
      <c r="J18" s="12"/>
      <c r="K18" s="8"/>
      <c r="R18" s="154"/>
    </row>
    <row r="19" spans="1:31" x14ac:dyDescent="0.25">
      <c r="B19" s="10"/>
      <c r="C19" s="11" t="s">
        <v>46</v>
      </c>
      <c r="D19" s="25">
        <f>S25</f>
        <v>0</v>
      </c>
      <c r="F19" s="21"/>
      <c r="G19" s="21"/>
      <c r="H19" s="22"/>
      <c r="I19" s="22"/>
      <c r="J19" s="95"/>
      <c r="K19" s="148"/>
      <c r="L19" s="148"/>
      <c r="M19" s="148"/>
      <c r="R19" s="154"/>
    </row>
    <row r="20" spans="1:31" ht="4.5" customHeight="1" x14ac:dyDescent="0.25">
      <c r="B20" s="10"/>
      <c r="R20" s="154"/>
    </row>
    <row r="21" spans="1:31" ht="6" customHeight="1" x14ac:dyDescent="0.25">
      <c r="B21" s="10"/>
      <c r="R21" s="154"/>
    </row>
    <row r="22" spans="1:31" ht="6" customHeight="1" thickBo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R22" s="154"/>
    </row>
    <row r="23" spans="1:31" ht="12.75" customHeight="1" x14ac:dyDescent="0.25">
      <c r="R23" s="154"/>
      <c r="S23" s="144" t="s">
        <v>49</v>
      </c>
    </row>
    <row r="24" spans="1:31" ht="38.25" customHeight="1" thickBot="1" x14ac:dyDescent="0.3">
      <c r="B24" s="31"/>
      <c r="C24" s="19"/>
      <c r="D24" s="19"/>
      <c r="E24" s="19"/>
      <c r="F24" s="8"/>
      <c r="G24" s="8"/>
      <c r="H24" s="34"/>
      <c r="I24" s="34"/>
      <c r="J24" s="8"/>
      <c r="K24" s="8"/>
      <c r="R24" s="154"/>
      <c r="S24" s="145"/>
    </row>
    <row r="25" spans="1:31" ht="15.75" thickBot="1" x14ac:dyDescent="0.3">
      <c r="A25" s="14"/>
      <c r="B25" s="19"/>
      <c r="C25" s="69"/>
      <c r="D25" s="69" t="s">
        <v>14</v>
      </c>
      <c r="E25" s="37" t="s">
        <v>15</v>
      </c>
      <c r="F25" s="69" t="s">
        <v>13</v>
      </c>
      <c r="G25" s="69" t="s">
        <v>8</v>
      </c>
      <c r="H25" s="69" t="s">
        <v>5</v>
      </c>
      <c r="I25" s="33" t="s">
        <v>10</v>
      </c>
      <c r="J25" s="33"/>
      <c r="K25" s="33"/>
      <c r="L25" s="33"/>
      <c r="M25" s="33"/>
      <c r="N25" s="33"/>
      <c r="O25" s="39"/>
      <c r="Q25" s="27" t="s">
        <v>6</v>
      </c>
      <c r="R25" s="67">
        <f>SUM(R26:R125)</f>
        <v>0</v>
      </c>
      <c r="S25" s="28">
        <f>SUM(S26:S77)</f>
        <v>0</v>
      </c>
      <c r="T25" s="125" t="s">
        <v>63</v>
      </c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</row>
    <row r="26" spans="1:31" x14ac:dyDescent="0.25">
      <c r="A26" s="14"/>
      <c r="B26" s="19"/>
      <c r="C26" s="152"/>
      <c r="D26" s="153"/>
      <c r="E26" s="36">
        <v>1</v>
      </c>
      <c r="F26" s="30">
        <v>1</v>
      </c>
      <c r="G26" s="59">
        <v>0</v>
      </c>
      <c r="H26" s="121">
        <f>G26*E26*F26</f>
        <v>0</v>
      </c>
      <c r="I26" s="143"/>
      <c r="J26" s="143"/>
      <c r="K26" s="143"/>
      <c r="L26" s="143"/>
      <c r="M26" s="143"/>
      <c r="N26" s="143"/>
      <c r="P26" s="27">
        <v>1</v>
      </c>
      <c r="Q26" s="77"/>
      <c r="R26" s="80" t="str">
        <f>IF(Q26="","",IF(Q26="","",1))</f>
        <v/>
      </c>
      <c r="S26" s="73"/>
      <c r="T26" s="138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x14ac:dyDescent="0.25">
      <c r="A27" s="14"/>
      <c r="B27" s="19"/>
      <c r="C27" s="152"/>
      <c r="D27" s="153"/>
      <c r="E27" s="36">
        <v>1</v>
      </c>
      <c r="F27" s="30">
        <v>1</v>
      </c>
      <c r="G27" s="59">
        <v>0</v>
      </c>
      <c r="H27" s="121">
        <f t="shared" ref="H27:H37" si="0">G27*E27*F27</f>
        <v>0</v>
      </c>
      <c r="I27" s="137"/>
      <c r="J27" s="137"/>
      <c r="K27" s="137"/>
      <c r="L27" s="137"/>
      <c r="M27" s="137"/>
      <c r="N27" s="137"/>
      <c r="P27" s="27">
        <v>2</v>
      </c>
      <c r="Q27" s="78"/>
      <c r="R27" s="81" t="str">
        <f t="shared" ref="R27:R90" si="1">IF(Q27="","",IF(Q27="","",1))</f>
        <v/>
      </c>
      <c r="S27" s="74"/>
      <c r="T27" s="128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30"/>
    </row>
    <row r="28" spans="1:31" x14ac:dyDescent="0.25">
      <c r="A28" s="14"/>
      <c r="B28" s="19"/>
      <c r="C28" s="152"/>
      <c r="D28" s="153"/>
      <c r="E28" s="36">
        <v>1</v>
      </c>
      <c r="F28" s="30">
        <v>1</v>
      </c>
      <c r="G28" s="59">
        <v>0</v>
      </c>
      <c r="H28" s="121">
        <f t="shared" si="0"/>
        <v>0</v>
      </c>
      <c r="I28" s="137"/>
      <c r="J28" s="137"/>
      <c r="K28" s="137"/>
      <c r="L28" s="137"/>
      <c r="M28" s="137"/>
      <c r="N28" s="137"/>
      <c r="P28" s="27">
        <v>3</v>
      </c>
      <c r="Q28" s="78"/>
      <c r="R28" s="81" t="str">
        <f t="shared" si="1"/>
        <v/>
      </c>
      <c r="S28" s="74"/>
      <c r="T28" s="128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30"/>
    </row>
    <row r="29" spans="1:31" x14ac:dyDescent="0.25">
      <c r="A29" s="14"/>
      <c r="B29" s="19"/>
      <c r="C29" s="152"/>
      <c r="D29" s="153"/>
      <c r="E29" s="36">
        <v>1</v>
      </c>
      <c r="F29" s="30">
        <v>1</v>
      </c>
      <c r="G29" s="59">
        <v>0</v>
      </c>
      <c r="H29" s="121">
        <f t="shared" si="0"/>
        <v>0</v>
      </c>
      <c r="I29" s="137"/>
      <c r="J29" s="137"/>
      <c r="K29" s="137"/>
      <c r="L29" s="137"/>
      <c r="M29" s="137"/>
      <c r="N29" s="137"/>
      <c r="P29" s="27">
        <v>4</v>
      </c>
      <c r="Q29" s="78"/>
      <c r="R29" s="81" t="str">
        <f t="shared" si="1"/>
        <v/>
      </c>
      <c r="S29" s="74"/>
      <c r="T29" s="128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30"/>
    </row>
    <row r="30" spans="1:31" x14ac:dyDescent="0.25">
      <c r="A30" s="14"/>
      <c r="B30" s="19"/>
      <c r="C30" s="152"/>
      <c r="D30" s="153"/>
      <c r="E30" s="36">
        <v>1</v>
      </c>
      <c r="F30" s="30">
        <v>1</v>
      </c>
      <c r="G30" s="59">
        <v>0</v>
      </c>
      <c r="H30" s="121">
        <f t="shared" si="0"/>
        <v>0</v>
      </c>
      <c r="I30" s="137"/>
      <c r="J30" s="137"/>
      <c r="K30" s="137"/>
      <c r="L30" s="137"/>
      <c r="M30" s="137"/>
      <c r="N30" s="137"/>
      <c r="P30" s="27">
        <v>5</v>
      </c>
      <c r="Q30" s="78"/>
      <c r="R30" s="81" t="str">
        <f t="shared" si="1"/>
        <v/>
      </c>
      <c r="S30" s="74"/>
      <c r="T30" s="128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30"/>
    </row>
    <row r="31" spans="1:31" x14ac:dyDescent="0.25">
      <c r="A31" s="14"/>
      <c r="B31" s="19"/>
      <c r="C31" s="152"/>
      <c r="D31" s="153"/>
      <c r="E31" s="36">
        <v>1</v>
      </c>
      <c r="F31" s="30">
        <v>1</v>
      </c>
      <c r="G31" s="59">
        <v>0</v>
      </c>
      <c r="H31" s="121">
        <f t="shared" si="0"/>
        <v>0</v>
      </c>
      <c r="I31" s="137"/>
      <c r="J31" s="137"/>
      <c r="K31" s="137"/>
      <c r="L31" s="137"/>
      <c r="M31" s="137"/>
      <c r="N31" s="137"/>
      <c r="P31" s="27">
        <v>6</v>
      </c>
      <c r="Q31" s="78"/>
      <c r="R31" s="81" t="str">
        <f t="shared" si="1"/>
        <v/>
      </c>
      <c r="S31" s="74"/>
      <c r="T31" s="128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30"/>
    </row>
    <row r="32" spans="1:31" x14ac:dyDescent="0.25">
      <c r="A32" s="14"/>
      <c r="B32" s="19"/>
      <c r="C32" s="152"/>
      <c r="D32" s="153"/>
      <c r="E32" s="36">
        <v>1</v>
      </c>
      <c r="F32" s="30">
        <v>1</v>
      </c>
      <c r="G32" s="59">
        <v>0</v>
      </c>
      <c r="H32" s="121">
        <f t="shared" si="0"/>
        <v>0</v>
      </c>
      <c r="I32" s="137"/>
      <c r="J32" s="137"/>
      <c r="K32" s="137"/>
      <c r="L32" s="137"/>
      <c r="M32" s="137"/>
      <c r="N32" s="137"/>
      <c r="P32" s="27">
        <v>7</v>
      </c>
      <c r="Q32" s="78"/>
      <c r="R32" s="81" t="str">
        <f t="shared" si="1"/>
        <v/>
      </c>
      <c r="S32" s="74"/>
      <c r="T32" s="128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30"/>
    </row>
    <row r="33" spans="1:31" x14ac:dyDescent="0.25">
      <c r="A33" s="14"/>
      <c r="C33" s="152"/>
      <c r="D33" s="153"/>
      <c r="E33" s="36">
        <v>1</v>
      </c>
      <c r="F33" s="30">
        <v>1</v>
      </c>
      <c r="G33" s="59">
        <v>0</v>
      </c>
      <c r="H33" s="121">
        <f t="shared" si="0"/>
        <v>0</v>
      </c>
      <c r="I33" s="137"/>
      <c r="J33" s="137"/>
      <c r="K33" s="137"/>
      <c r="L33" s="137"/>
      <c r="M33" s="137"/>
      <c r="N33" s="137"/>
      <c r="P33" s="27">
        <v>8</v>
      </c>
      <c r="Q33" s="78"/>
      <c r="R33" s="81" t="str">
        <f t="shared" si="1"/>
        <v/>
      </c>
      <c r="S33" s="74"/>
      <c r="T33" s="128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30"/>
    </row>
    <row r="34" spans="1:31" ht="15.75" customHeight="1" x14ac:dyDescent="0.25">
      <c r="A34" s="14"/>
      <c r="C34" s="152"/>
      <c r="D34" s="153"/>
      <c r="E34" s="36">
        <v>1</v>
      </c>
      <c r="F34" s="30">
        <v>1</v>
      </c>
      <c r="G34" s="59">
        <v>0</v>
      </c>
      <c r="H34" s="121">
        <f t="shared" si="0"/>
        <v>0</v>
      </c>
      <c r="I34" s="137"/>
      <c r="J34" s="137"/>
      <c r="K34" s="137"/>
      <c r="L34" s="137"/>
      <c r="M34" s="137"/>
      <c r="N34" s="137"/>
      <c r="O34" s="83"/>
      <c r="P34" s="27">
        <v>9</v>
      </c>
      <c r="Q34" s="78"/>
      <c r="R34" s="81" t="str">
        <f t="shared" si="1"/>
        <v/>
      </c>
      <c r="S34" s="74"/>
      <c r="T34" s="128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30"/>
    </row>
    <row r="35" spans="1:31" x14ac:dyDescent="0.25">
      <c r="A35" s="14"/>
      <c r="C35" s="152"/>
      <c r="D35" s="153"/>
      <c r="E35" s="36">
        <v>1</v>
      </c>
      <c r="F35" s="30">
        <v>1</v>
      </c>
      <c r="G35" s="59">
        <v>0</v>
      </c>
      <c r="H35" s="121">
        <f t="shared" si="0"/>
        <v>0</v>
      </c>
      <c r="I35" s="137"/>
      <c r="J35" s="137"/>
      <c r="K35" s="137"/>
      <c r="L35" s="137"/>
      <c r="M35" s="137"/>
      <c r="N35" s="137"/>
      <c r="O35" s="84"/>
      <c r="P35" s="27">
        <v>10</v>
      </c>
      <c r="Q35" s="78"/>
      <c r="R35" s="81" t="str">
        <f t="shared" si="1"/>
        <v/>
      </c>
      <c r="S35" s="74"/>
      <c r="T35" s="128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30"/>
    </row>
    <row r="36" spans="1:31" x14ac:dyDescent="0.25">
      <c r="A36" s="14"/>
      <c r="C36" s="152"/>
      <c r="D36" s="153"/>
      <c r="E36" s="36">
        <v>1</v>
      </c>
      <c r="F36" s="30">
        <v>1</v>
      </c>
      <c r="G36" s="59">
        <v>0</v>
      </c>
      <c r="H36" s="121">
        <f t="shared" si="0"/>
        <v>0</v>
      </c>
      <c r="I36" s="137"/>
      <c r="J36" s="137"/>
      <c r="K36" s="137"/>
      <c r="L36" s="137"/>
      <c r="M36" s="137"/>
      <c r="N36" s="137"/>
      <c r="O36" s="20"/>
      <c r="P36" s="27">
        <v>11</v>
      </c>
      <c r="Q36" s="78"/>
      <c r="R36" s="81" t="str">
        <f t="shared" si="1"/>
        <v/>
      </c>
      <c r="S36" s="74"/>
      <c r="T36" s="128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30"/>
    </row>
    <row r="37" spans="1:31" ht="15.75" customHeight="1" x14ac:dyDescent="0.25">
      <c r="A37" s="14"/>
      <c r="C37" s="152"/>
      <c r="D37" s="153"/>
      <c r="E37" s="36">
        <v>1</v>
      </c>
      <c r="F37" s="30">
        <v>1</v>
      </c>
      <c r="G37" s="59">
        <v>0</v>
      </c>
      <c r="H37" s="121">
        <f t="shared" si="0"/>
        <v>0</v>
      </c>
      <c r="I37" s="137"/>
      <c r="J37" s="137"/>
      <c r="K37" s="137"/>
      <c r="L37" s="137"/>
      <c r="M37" s="137"/>
      <c r="N37" s="137"/>
      <c r="O37" s="83"/>
      <c r="P37" s="27">
        <v>12</v>
      </c>
      <c r="Q37" s="78"/>
      <c r="R37" s="81" t="str">
        <f t="shared" si="1"/>
        <v/>
      </c>
      <c r="S37" s="74"/>
      <c r="T37" s="128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30"/>
    </row>
    <row r="38" spans="1:31" ht="12.75" customHeight="1" x14ac:dyDescent="0.25">
      <c r="A38" s="14"/>
      <c r="B38" s="8"/>
      <c r="C38" s="155"/>
      <c r="D38" s="156"/>
      <c r="E38" s="88">
        <v>1</v>
      </c>
      <c r="F38" s="35">
        <v>1</v>
      </c>
      <c r="G38" s="86">
        <v>0</v>
      </c>
      <c r="H38" s="122">
        <f>G38*E38*F38</f>
        <v>0</v>
      </c>
      <c r="I38" s="161"/>
      <c r="J38" s="162"/>
      <c r="K38" s="162"/>
      <c r="L38" s="162"/>
      <c r="M38" s="162"/>
      <c r="N38" s="163"/>
      <c r="O38" s="85"/>
      <c r="P38" s="27">
        <v>13</v>
      </c>
      <c r="Q38" s="79"/>
      <c r="R38" s="81" t="str">
        <f t="shared" si="1"/>
        <v/>
      </c>
      <c r="S38" s="74"/>
      <c r="T38" s="128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30"/>
    </row>
    <row r="39" spans="1:31" ht="17.25" customHeight="1" x14ac:dyDescent="0.25">
      <c r="A39" s="14"/>
      <c r="C39" s="160"/>
      <c r="D39" s="160"/>
      <c r="E39" s="92"/>
      <c r="F39" s="87"/>
      <c r="G39" s="87"/>
      <c r="H39" s="94">
        <f>SUM(H26:H38)</f>
        <v>0</v>
      </c>
      <c r="I39" s="20"/>
      <c r="J39" s="20"/>
      <c r="K39" s="20"/>
      <c r="L39" s="19"/>
      <c r="M39" s="19"/>
      <c r="N39" s="19"/>
      <c r="P39" s="27">
        <v>14</v>
      </c>
      <c r="Q39" s="78"/>
      <c r="R39" s="81" t="str">
        <f t="shared" si="1"/>
        <v/>
      </c>
      <c r="S39" s="74"/>
      <c r="T39" s="128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30"/>
    </row>
    <row r="40" spans="1:31" x14ac:dyDescent="0.25">
      <c r="A40" s="14"/>
      <c r="I40" s="19"/>
      <c r="J40" s="29"/>
      <c r="K40" s="134"/>
      <c r="L40" s="134"/>
      <c r="M40" s="29"/>
      <c r="N40" s="19"/>
      <c r="P40" s="27">
        <v>15</v>
      </c>
      <c r="Q40" s="78"/>
      <c r="R40" s="81" t="str">
        <f t="shared" si="1"/>
        <v/>
      </c>
      <c r="S40" s="74"/>
      <c r="T40" s="128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30"/>
    </row>
    <row r="41" spans="1:31" x14ac:dyDescent="0.25">
      <c r="A41" s="14"/>
      <c r="C41" s="159" t="s">
        <v>16</v>
      </c>
      <c r="D41" s="159"/>
      <c r="E41" s="69" t="s">
        <v>4</v>
      </c>
      <c r="F41" s="69" t="s">
        <v>17</v>
      </c>
      <c r="G41" s="69" t="s">
        <v>8</v>
      </c>
      <c r="H41" s="69" t="s">
        <v>5</v>
      </c>
      <c r="I41" s="127" t="s">
        <v>64</v>
      </c>
      <c r="J41" s="127"/>
      <c r="K41" s="127"/>
      <c r="L41" s="127"/>
      <c r="M41" s="127"/>
      <c r="N41" s="127"/>
      <c r="P41" s="27">
        <v>16</v>
      </c>
      <c r="Q41" s="78"/>
      <c r="R41" s="81" t="str">
        <f t="shared" si="1"/>
        <v/>
      </c>
      <c r="S41" s="74"/>
      <c r="T41" s="128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30"/>
    </row>
    <row r="42" spans="1:31" x14ac:dyDescent="0.25">
      <c r="A42" s="14"/>
      <c r="C42" s="157"/>
      <c r="D42" s="158"/>
      <c r="E42" s="36">
        <v>1</v>
      </c>
      <c r="F42" s="36">
        <v>1</v>
      </c>
      <c r="G42" s="60">
        <v>0</v>
      </c>
      <c r="H42" s="121">
        <f>G42*F42*E42</f>
        <v>0</v>
      </c>
      <c r="I42" s="143"/>
      <c r="J42" s="143"/>
      <c r="K42" s="143"/>
      <c r="L42" s="143"/>
      <c r="M42" s="143"/>
      <c r="N42" s="143"/>
      <c r="P42" s="27">
        <v>17</v>
      </c>
      <c r="Q42" s="78"/>
      <c r="R42" s="81" t="str">
        <f t="shared" si="1"/>
        <v/>
      </c>
      <c r="S42" s="74"/>
      <c r="T42" s="128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30"/>
    </row>
    <row r="43" spans="1:31" x14ac:dyDescent="0.25">
      <c r="A43" s="14"/>
      <c r="C43" s="157"/>
      <c r="D43" s="158"/>
      <c r="E43" s="38">
        <v>1</v>
      </c>
      <c r="F43" s="38">
        <v>1</v>
      </c>
      <c r="G43" s="60">
        <v>0</v>
      </c>
      <c r="H43" s="121">
        <f>G43*F43*E43</f>
        <v>0</v>
      </c>
      <c r="I43" s="137"/>
      <c r="J43" s="137"/>
      <c r="K43" s="137"/>
      <c r="L43" s="137"/>
      <c r="M43" s="137"/>
      <c r="N43" s="137"/>
      <c r="P43" s="27">
        <v>18</v>
      </c>
      <c r="Q43" s="78"/>
      <c r="R43" s="81" t="str">
        <f t="shared" si="1"/>
        <v/>
      </c>
      <c r="S43" s="74"/>
      <c r="T43" s="128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30"/>
    </row>
    <row r="44" spans="1:31" x14ac:dyDescent="0.25">
      <c r="A44" s="14"/>
      <c r="C44" s="157"/>
      <c r="D44" s="158"/>
      <c r="E44" s="38">
        <v>1</v>
      </c>
      <c r="F44" s="38">
        <v>1</v>
      </c>
      <c r="G44" s="60">
        <v>0</v>
      </c>
      <c r="H44" s="121">
        <f t="shared" ref="H44:H62" si="2">G44*F44*E44</f>
        <v>0</v>
      </c>
      <c r="I44" s="137"/>
      <c r="J44" s="137"/>
      <c r="K44" s="137"/>
      <c r="L44" s="137"/>
      <c r="M44" s="137"/>
      <c r="N44" s="137"/>
      <c r="P44" s="27">
        <v>19</v>
      </c>
      <c r="Q44" s="78"/>
      <c r="R44" s="81" t="str">
        <f t="shared" si="1"/>
        <v/>
      </c>
      <c r="S44" s="74"/>
      <c r="T44" s="128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30"/>
    </row>
    <row r="45" spans="1:31" x14ac:dyDescent="0.25">
      <c r="A45" s="14"/>
      <c r="C45" s="141"/>
      <c r="D45" s="142"/>
      <c r="E45" s="38">
        <v>1</v>
      </c>
      <c r="F45" s="38">
        <v>1</v>
      </c>
      <c r="G45" s="60">
        <v>0</v>
      </c>
      <c r="H45" s="121">
        <f t="shared" si="2"/>
        <v>0</v>
      </c>
      <c r="I45" s="137"/>
      <c r="J45" s="137"/>
      <c r="K45" s="137"/>
      <c r="L45" s="137"/>
      <c r="M45" s="137"/>
      <c r="N45" s="137"/>
      <c r="P45" s="27">
        <v>20</v>
      </c>
      <c r="Q45" s="78"/>
      <c r="R45" s="81" t="str">
        <f t="shared" si="1"/>
        <v/>
      </c>
      <c r="S45" s="74"/>
      <c r="T45" s="128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30"/>
    </row>
    <row r="46" spans="1:31" x14ac:dyDescent="0.25">
      <c r="A46" s="14"/>
      <c r="C46" s="141"/>
      <c r="D46" s="142"/>
      <c r="E46" s="38">
        <v>1</v>
      </c>
      <c r="F46" s="38">
        <v>1</v>
      </c>
      <c r="G46" s="60">
        <v>0</v>
      </c>
      <c r="H46" s="121">
        <f t="shared" si="2"/>
        <v>0</v>
      </c>
      <c r="I46" s="137"/>
      <c r="J46" s="137"/>
      <c r="K46" s="137"/>
      <c r="L46" s="137"/>
      <c r="M46" s="137"/>
      <c r="N46" s="137"/>
      <c r="P46" s="27">
        <v>21</v>
      </c>
      <c r="Q46" s="78"/>
      <c r="R46" s="81" t="str">
        <f t="shared" si="1"/>
        <v/>
      </c>
      <c r="S46" s="74"/>
      <c r="T46" s="128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30"/>
    </row>
    <row r="47" spans="1:31" x14ac:dyDescent="0.25">
      <c r="C47" s="141"/>
      <c r="D47" s="142"/>
      <c r="E47" s="38">
        <v>1</v>
      </c>
      <c r="F47" s="38">
        <v>1</v>
      </c>
      <c r="G47" s="60">
        <v>0</v>
      </c>
      <c r="H47" s="121">
        <f t="shared" si="2"/>
        <v>0</v>
      </c>
      <c r="I47" s="137"/>
      <c r="J47" s="137"/>
      <c r="K47" s="137"/>
      <c r="L47" s="137"/>
      <c r="M47" s="137"/>
      <c r="N47" s="137"/>
      <c r="P47" s="27">
        <v>22</v>
      </c>
      <c r="Q47" s="78"/>
      <c r="R47" s="81" t="str">
        <f t="shared" si="1"/>
        <v/>
      </c>
      <c r="S47" s="74"/>
      <c r="T47" s="128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30"/>
    </row>
    <row r="48" spans="1:31" ht="15.75" customHeight="1" x14ac:dyDescent="0.25">
      <c r="C48" s="141"/>
      <c r="D48" s="142"/>
      <c r="E48" s="38">
        <v>1</v>
      </c>
      <c r="F48" s="38">
        <v>1</v>
      </c>
      <c r="G48" s="60">
        <v>0</v>
      </c>
      <c r="H48" s="121">
        <f t="shared" si="2"/>
        <v>0</v>
      </c>
      <c r="I48" s="137"/>
      <c r="J48" s="137"/>
      <c r="K48" s="137"/>
      <c r="L48" s="137"/>
      <c r="M48" s="137"/>
      <c r="N48" s="137"/>
      <c r="P48" s="27">
        <v>23</v>
      </c>
      <c r="Q48" s="78"/>
      <c r="R48" s="81" t="str">
        <f t="shared" si="1"/>
        <v/>
      </c>
      <c r="S48" s="74"/>
      <c r="T48" s="128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30"/>
    </row>
    <row r="49" spans="1:31" x14ac:dyDescent="0.25">
      <c r="A49" s="14"/>
      <c r="C49" s="141"/>
      <c r="D49" s="142"/>
      <c r="E49" s="38">
        <v>1</v>
      </c>
      <c r="F49" s="38">
        <v>1</v>
      </c>
      <c r="G49" s="60">
        <v>0</v>
      </c>
      <c r="H49" s="121">
        <f t="shared" si="2"/>
        <v>0</v>
      </c>
      <c r="I49" s="137"/>
      <c r="J49" s="137"/>
      <c r="K49" s="137"/>
      <c r="L49" s="137"/>
      <c r="M49" s="137"/>
      <c r="N49" s="137"/>
      <c r="P49" s="27">
        <v>24</v>
      </c>
      <c r="Q49" s="78"/>
      <c r="R49" s="81" t="str">
        <f t="shared" si="1"/>
        <v/>
      </c>
      <c r="S49" s="74"/>
      <c r="T49" s="128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30"/>
    </row>
    <row r="50" spans="1:31" x14ac:dyDescent="0.25">
      <c r="A50" s="14"/>
      <c r="C50" s="141"/>
      <c r="D50" s="142"/>
      <c r="E50" s="38">
        <v>1</v>
      </c>
      <c r="F50" s="38">
        <v>1</v>
      </c>
      <c r="G50" s="60">
        <v>0</v>
      </c>
      <c r="H50" s="121">
        <f t="shared" si="2"/>
        <v>0</v>
      </c>
      <c r="I50" s="137"/>
      <c r="J50" s="137"/>
      <c r="K50" s="137"/>
      <c r="L50" s="137"/>
      <c r="M50" s="137"/>
      <c r="N50" s="137"/>
      <c r="O50" s="19"/>
      <c r="P50" s="27">
        <v>25</v>
      </c>
      <c r="Q50" s="78"/>
      <c r="R50" s="81" t="str">
        <f t="shared" si="1"/>
        <v/>
      </c>
      <c r="S50" s="74"/>
      <c r="T50" s="128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30"/>
    </row>
    <row r="51" spans="1:31" ht="15.75" customHeight="1" x14ac:dyDescent="0.25">
      <c r="A51" s="14"/>
      <c r="C51" s="141"/>
      <c r="D51" s="142"/>
      <c r="E51" s="38">
        <v>1</v>
      </c>
      <c r="F51" s="38">
        <v>1</v>
      </c>
      <c r="G51" s="60">
        <v>0</v>
      </c>
      <c r="H51" s="121">
        <f t="shared" si="2"/>
        <v>0</v>
      </c>
      <c r="I51" s="137"/>
      <c r="J51" s="137"/>
      <c r="K51" s="137"/>
      <c r="L51" s="137"/>
      <c r="M51" s="137"/>
      <c r="N51" s="137"/>
      <c r="O51" s="19"/>
      <c r="P51" s="27">
        <v>26</v>
      </c>
      <c r="Q51" s="78"/>
      <c r="R51" s="81" t="str">
        <f t="shared" si="1"/>
        <v/>
      </c>
      <c r="S51" s="74"/>
      <c r="T51" s="128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30"/>
    </row>
    <row r="52" spans="1:31" x14ac:dyDescent="0.25">
      <c r="A52" s="14"/>
      <c r="C52" s="141"/>
      <c r="D52" s="142"/>
      <c r="E52" s="38">
        <v>1</v>
      </c>
      <c r="F52" s="38">
        <v>1</v>
      </c>
      <c r="G52" s="60">
        <v>0</v>
      </c>
      <c r="H52" s="121">
        <f t="shared" si="2"/>
        <v>0</v>
      </c>
      <c r="I52" s="137"/>
      <c r="J52" s="137"/>
      <c r="K52" s="137"/>
      <c r="L52" s="137"/>
      <c r="M52" s="137"/>
      <c r="N52" s="137"/>
      <c r="O52" s="19"/>
      <c r="P52" s="27">
        <v>27</v>
      </c>
      <c r="Q52" s="78"/>
      <c r="R52" s="81" t="str">
        <f t="shared" si="1"/>
        <v/>
      </c>
      <c r="S52" s="74"/>
      <c r="T52" s="128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30"/>
    </row>
    <row r="53" spans="1:31" x14ac:dyDescent="0.25">
      <c r="A53" s="14"/>
      <c r="C53" s="141"/>
      <c r="D53" s="142"/>
      <c r="E53" s="38">
        <v>1</v>
      </c>
      <c r="F53" s="38">
        <v>1</v>
      </c>
      <c r="G53" s="60">
        <v>0</v>
      </c>
      <c r="H53" s="121">
        <f t="shared" si="2"/>
        <v>0</v>
      </c>
      <c r="I53" s="137"/>
      <c r="J53" s="137"/>
      <c r="K53" s="137"/>
      <c r="L53" s="137"/>
      <c r="M53" s="137"/>
      <c r="N53" s="137"/>
      <c r="O53" s="19"/>
      <c r="P53" s="27">
        <v>28</v>
      </c>
      <c r="Q53" s="78"/>
      <c r="R53" s="81" t="str">
        <f t="shared" si="1"/>
        <v/>
      </c>
      <c r="S53" s="74"/>
      <c r="T53" s="128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30"/>
    </row>
    <row r="54" spans="1:31" x14ac:dyDescent="0.25">
      <c r="A54" s="14"/>
      <c r="C54" s="141"/>
      <c r="D54" s="142"/>
      <c r="E54" s="38">
        <v>1</v>
      </c>
      <c r="F54" s="38">
        <v>1</v>
      </c>
      <c r="G54" s="60">
        <v>0</v>
      </c>
      <c r="H54" s="121">
        <f t="shared" si="2"/>
        <v>0</v>
      </c>
      <c r="I54" s="137"/>
      <c r="J54" s="137"/>
      <c r="K54" s="137"/>
      <c r="L54" s="137"/>
      <c r="M54" s="137"/>
      <c r="N54" s="137"/>
      <c r="O54" s="19"/>
      <c r="P54" s="27">
        <v>29</v>
      </c>
      <c r="Q54" s="78"/>
      <c r="R54" s="81" t="str">
        <f t="shared" si="1"/>
        <v/>
      </c>
      <c r="S54" s="74"/>
      <c r="T54" s="128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30"/>
    </row>
    <row r="55" spans="1:31" x14ac:dyDescent="0.25">
      <c r="C55" s="141"/>
      <c r="D55" s="142"/>
      <c r="E55" s="38">
        <v>1</v>
      </c>
      <c r="F55" s="38">
        <v>1</v>
      </c>
      <c r="G55" s="60">
        <v>0</v>
      </c>
      <c r="H55" s="121">
        <f t="shared" si="2"/>
        <v>0</v>
      </c>
      <c r="I55" s="137"/>
      <c r="J55" s="137"/>
      <c r="K55" s="137"/>
      <c r="L55" s="137"/>
      <c r="M55" s="137"/>
      <c r="N55" s="137"/>
      <c r="O55" s="19"/>
      <c r="P55" s="27">
        <v>30</v>
      </c>
      <c r="Q55" s="78"/>
      <c r="R55" s="81" t="str">
        <f t="shared" si="1"/>
        <v/>
      </c>
      <c r="S55" s="74"/>
      <c r="T55" s="128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30"/>
    </row>
    <row r="56" spans="1:31" x14ac:dyDescent="0.25">
      <c r="C56" s="141"/>
      <c r="D56" s="142"/>
      <c r="E56" s="38">
        <v>1</v>
      </c>
      <c r="F56" s="38">
        <v>1</v>
      </c>
      <c r="G56" s="60">
        <v>0</v>
      </c>
      <c r="H56" s="121">
        <f t="shared" si="2"/>
        <v>0</v>
      </c>
      <c r="I56" s="137"/>
      <c r="J56" s="137"/>
      <c r="K56" s="137"/>
      <c r="L56" s="137"/>
      <c r="M56" s="137"/>
      <c r="N56" s="137"/>
      <c r="P56" s="27">
        <v>31</v>
      </c>
      <c r="Q56" s="78"/>
      <c r="R56" s="81" t="str">
        <f t="shared" si="1"/>
        <v/>
      </c>
      <c r="S56" s="74"/>
      <c r="T56" s="128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30"/>
    </row>
    <row r="57" spans="1:31" x14ac:dyDescent="0.25">
      <c r="C57" s="141"/>
      <c r="D57" s="142"/>
      <c r="E57" s="38">
        <v>1</v>
      </c>
      <c r="F57" s="38">
        <v>1</v>
      </c>
      <c r="G57" s="60">
        <v>0</v>
      </c>
      <c r="H57" s="121">
        <f t="shared" si="2"/>
        <v>0</v>
      </c>
      <c r="I57" s="137"/>
      <c r="J57" s="137"/>
      <c r="K57" s="137"/>
      <c r="L57" s="137"/>
      <c r="M57" s="137"/>
      <c r="N57" s="137"/>
      <c r="P57" s="27">
        <v>32</v>
      </c>
      <c r="Q57" s="78"/>
      <c r="R57" s="81" t="str">
        <f t="shared" si="1"/>
        <v/>
      </c>
      <c r="S57" s="74"/>
      <c r="T57" s="128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30"/>
    </row>
    <row r="58" spans="1:31" x14ac:dyDescent="0.25">
      <c r="A58" s="14"/>
      <c r="C58" s="141"/>
      <c r="D58" s="142"/>
      <c r="E58" s="38">
        <v>1</v>
      </c>
      <c r="F58" s="38">
        <v>1</v>
      </c>
      <c r="G58" s="60">
        <v>0</v>
      </c>
      <c r="H58" s="121">
        <f t="shared" si="2"/>
        <v>0</v>
      </c>
      <c r="I58" s="137"/>
      <c r="J58" s="137"/>
      <c r="K58" s="137"/>
      <c r="L58" s="137"/>
      <c r="M58" s="137"/>
      <c r="N58" s="137"/>
      <c r="P58" s="27">
        <v>33</v>
      </c>
      <c r="Q58" s="78"/>
      <c r="R58" s="81" t="str">
        <f t="shared" si="1"/>
        <v/>
      </c>
      <c r="S58" s="74"/>
      <c r="T58" s="128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30"/>
    </row>
    <row r="59" spans="1:31" x14ac:dyDescent="0.25">
      <c r="A59" s="14"/>
      <c r="C59" s="141"/>
      <c r="D59" s="142"/>
      <c r="E59" s="38">
        <v>1</v>
      </c>
      <c r="F59" s="38">
        <v>1</v>
      </c>
      <c r="G59" s="60">
        <v>0</v>
      </c>
      <c r="H59" s="121">
        <f t="shared" si="2"/>
        <v>0</v>
      </c>
      <c r="I59" s="137"/>
      <c r="J59" s="137"/>
      <c r="K59" s="137"/>
      <c r="L59" s="137"/>
      <c r="M59" s="137"/>
      <c r="N59" s="137"/>
      <c r="O59" s="19"/>
      <c r="P59" s="27">
        <v>34</v>
      </c>
      <c r="Q59" s="78"/>
      <c r="R59" s="81" t="str">
        <f t="shared" si="1"/>
        <v/>
      </c>
      <c r="S59" s="74"/>
      <c r="T59" s="128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30"/>
    </row>
    <row r="60" spans="1:31" x14ac:dyDescent="0.25">
      <c r="A60" s="14"/>
      <c r="C60" s="141"/>
      <c r="D60" s="142"/>
      <c r="E60" s="38">
        <v>1</v>
      </c>
      <c r="F60" s="38">
        <v>1</v>
      </c>
      <c r="G60" s="60">
        <v>0</v>
      </c>
      <c r="H60" s="121">
        <f t="shared" si="2"/>
        <v>0</v>
      </c>
      <c r="I60" s="137"/>
      <c r="J60" s="137"/>
      <c r="K60" s="137"/>
      <c r="L60" s="137"/>
      <c r="M60" s="137"/>
      <c r="N60" s="137"/>
      <c r="O60" s="19"/>
      <c r="P60" s="27">
        <v>35</v>
      </c>
      <c r="Q60" s="78"/>
      <c r="R60" s="81" t="str">
        <f t="shared" si="1"/>
        <v/>
      </c>
      <c r="S60" s="74"/>
      <c r="T60" s="128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30"/>
    </row>
    <row r="61" spans="1:31" x14ac:dyDescent="0.25">
      <c r="A61" s="14"/>
      <c r="C61" s="141"/>
      <c r="D61" s="142"/>
      <c r="E61" s="38">
        <v>1</v>
      </c>
      <c r="F61" s="38">
        <v>1</v>
      </c>
      <c r="G61" s="60">
        <v>0</v>
      </c>
      <c r="H61" s="121">
        <f t="shared" si="2"/>
        <v>0</v>
      </c>
      <c r="I61" s="137"/>
      <c r="J61" s="137"/>
      <c r="K61" s="137"/>
      <c r="L61" s="137"/>
      <c r="M61" s="137"/>
      <c r="N61" s="137"/>
      <c r="O61" s="19"/>
      <c r="P61" s="27">
        <v>36</v>
      </c>
      <c r="Q61" s="78"/>
      <c r="R61" s="81" t="str">
        <f t="shared" si="1"/>
        <v/>
      </c>
      <c r="S61" s="74"/>
      <c r="T61" s="128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30"/>
    </row>
    <row r="62" spans="1:31" x14ac:dyDescent="0.25">
      <c r="A62" s="14"/>
      <c r="C62" s="141"/>
      <c r="D62" s="142"/>
      <c r="E62" s="38">
        <v>1</v>
      </c>
      <c r="F62" s="38">
        <v>1</v>
      </c>
      <c r="G62" s="60">
        <v>0</v>
      </c>
      <c r="H62" s="121">
        <f t="shared" si="2"/>
        <v>0</v>
      </c>
      <c r="I62" s="137"/>
      <c r="J62" s="137"/>
      <c r="K62" s="137"/>
      <c r="L62" s="137"/>
      <c r="M62" s="137"/>
      <c r="N62" s="137"/>
      <c r="O62" s="19"/>
      <c r="P62" s="27">
        <v>37</v>
      </c>
      <c r="Q62" s="78"/>
      <c r="R62" s="81" t="str">
        <f t="shared" si="1"/>
        <v/>
      </c>
      <c r="S62" s="74"/>
      <c r="T62" s="128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30"/>
    </row>
    <row r="63" spans="1:31" x14ac:dyDescent="0.25">
      <c r="A63" s="14"/>
      <c r="H63" s="93">
        <f>SUM(H42:H62)</f>
        <v>0</v>
      </c>
      <c r="I63" s="91"/>
      <c r="J63" s="91"/>
      <c r="K63" s="91"/>
      <c r="L63" s="90"/>
      <c r="M63" s="91"/>
      <c r="N63" s="91"/>
      <c r="O63" s="19"/>
      <c r="P63" s="27">
        <v>38</v>
      </c>
      <c r="Q63" s="78"/>
      <c r="R63" s="81" t="str">
        <f t="shared" si="1"/>
        <v/>
      </c>
      <c r="S63" s="74"/>
      <c r="T63" s="128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30"/>
    </row>
    <row r="64" spans="1:31" x14ac:dyDescent="0.25">
      <c r="I64" s="136"/>
      <c r="J64" s="136"/>
      <c r="K64" s="136"/>
      <c r="L64" s="90"/>
      <c r="M64" s="136"/>
      <c r="N64" s="136"/>
      <c r="O64" s="19"/>
      <c r="P64" s="27">
        <v>39</v>
      </c>
      <c r="Q64" s="78"/>
      <c r="R64" s="81" t="str">
        <f t="shared" si="1"/>
        <v/>
      </c>
      <c r="S64" s="74"/>
      <c r="T64" s="128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30"/>
    </row>
    <row r="65" spans="9:31" x14ac:dyDescent="0.25">
      <c r="I65" s="19"/>
      <c r="J65" s="19"/>
      <c r="K65" s="19"/>
      <c r="L65" s="19"/>
      <c r="M65" s="19"/>
      <c r="N65" s="19"/>
      <c r="P65" s="27">
        <v>40</v>
      </c>
      <c r="Q65" s="78"/>
      <c r="R65" s="81" t="str">
        <f t="shared" si="1"/>
        <v/>
      </c>
      <c r="S65" s="74"/>
      <c r="T65" s="128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30"/>
    </row>
    <row r="66" spans="9:31" x14ac:dyDescent="0.25">
      <c r="I66" s="19"/>
      <c r="J66" s="19"/>
      <c r="K66" s="19"/>
      <c r="L66" s="19"/>
      <c r="M66" s="19"/>
      <c r="N66" s="19"/>
      <c r="P66" s="27">
        <v>41</v>
      </c>
      <c r="Q66" s="78"/>
      <c r="R66" s="81" t="str">
        <f t="shared" si="1"/>
        <v/>
      </c>
      <c r="S66" s="74"/>
      <c r="T66" s="128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30"/>
    </row>
    <row r="67" spans="9:31" x14ac:dyDescent="0.25">
      <c r="I67" s="19"/>
      <c r="J67" s="19"/>
      <c r="K67" s="19"/>
      <c r="L67" s="19"/>
      <c r="M67" s="19"/>
      <c r="N67" s="19"/>
      <c r="P67" s="27">
        <v>42</v>
      </c>
      <c r="Q67" s="78"/>
      <c r="R67" s="81" t="str">
        <f t="shared" si="1"/>
        <v/>
      </c>
      <c r="S67" s="74"/>
      <c r="T67" s="12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30"/>
    </row>
    <row r="68" spans="9:31" x14ac:dyDescent="0.25">
      <c r="I68" s="134"/>
      <c r="J68" s="134"/>
      <c r="K68" s="89"/>
      <c r="L68" s="29"/>
      <c r="M68" s="19"/>
      <c r="N68" s="19"/>
      <c r="P68" s="27">
        <v>43</v>
      </c>
      <c r="Q68" s="78"/>
      <c r="R68" s="81" t="str">
        <f t="shared" si="1"/>
        <v/>
      </c>
      <c r="S68" s="74"/>
      <c r="T68" s="12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30"/>
    </row>
    <row r="69" spans="9:31" x14ac:dyDescent="0.25">
      <c r="I69" s="135"/>
      <c r="J69" s="135"/>
      <c r="K69" s="19"/>
      <c r="L69" s="19"/>
      <c r="M69" s="19"/>
      <c r="N69" s="19"/>
      <c r="P69" s="27">
        <v>44</v>
      </c>
      <c r="Q69" s="78"/>
      <c r="R69" s="81" t="str">
        <f t="shared" si="1"/>
        <v/>
      </c>
      <c r="S69" s="74"/>
      <c r="T69" s="128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30"/>
    </row>
    <row r="70" spans="9:31" x14ac:dyDescent="0.25">
      <c r="I70" s="135"/>
      <c r="J70" s="135"/>
      <c r="K70" s="19"/>
      <c r="L70" s="19"/>
      <c r="M70" s="19"/>
      <c r="N70" s="19"/>
      <c r="P70" s="27">
        <v>45</v>
      </c>
      <c r="Q70" s="78"/>
      <c r="R70" s="81" t="str">
        <f t="shared" si="1"/>
        <v/>
      </c>
      <c r="S70" s="74"/>
      <c r="T70" s="128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30"/>
    </row>
    <row r="71" spans="9:31" x14ac:dyDescent="0.25">
      <c r="I71" s="135"/>
      <c r="J71" s="135"/>
      <c r="K71" s="19"/>
      <c r="L71" s="19"/>
      <c r="M71" s="19"/>
      <c r="N71" s="19"/>
      <c r="P71" s="27">
        <v>46</v>
      </c>
      <c r="Q71" s="78"/>
      <c r="R71" s="81" t="str">
        <f t="shared" si="1"/>
        <v/>
      </c>
      <c r="S71" s="74"/>
      <c r="T71" s="128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30"/>
    </row>
    <row r="72" spans="9:31" x14ac:dyDescent="0.25">
      <c r="I72" s="135"/>
      <c r="J72" s="135"/>
      <c r="K72" s="19"/>
      <c r="L72" s="19"/>
      <c r="M72" s="19"/>
      <c r="N72" s="19"/>
      <c r="P72" s="27">
        <v>47</v>
      </c>
      <c r="Q72" s="78"/>
      <c r="R72" s="81" t="str">
        <f t="shared" si="1"/>
        <v/>
      </c>
      <c r="S72" s="74"/>
      <c r="T72" s="128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30"/>
    </row>
    <row r="73" spans="9:31" x14ac:dyDescent="0.25">
      <c r="I73" s="135"/>
      <c r="J73" s="135"/>
      <c r="K73" s="19"/>
      <c r="L73" s="19"/>
      <c r="M73" s="19"/>
      <c r="N73" s="19"/>
      <c r="P73" s="27">
        <v>48</v>
      </c>
      <c r="Q73" s="78"/>
      <c r="R73" s="81" t="str">
        <f t="shared" si="1"/>
        <v/>
      </c>
      <c r="S73" s="74"/>
      <c r="T73" s="128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30"/>
    </row>
    <row r="74" spans="9:31" x14ac:dyDescent="0.25">
      <c r="I74" s="135"/>
      <c r="J74" s="135"/>
      <c r="K74" s="19"/>
      <c r="L74" s="19"/>
      <c r="M74" s="19"/>
      <c r="N74" s="19"/>
      <c r="P74" s="27">
        <v>49</v>
      </c>
      <c r="Q74" s="78"/>
      <c r="R74" s="81" t="str">
        <f t="shared" si="1"/>
        <v/>
      </c>
      <c r="S74" s="74"/>
      <c r="T74" s="128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30"/>
    </row>
    <row r="75" spans="9:31" x14ac:dyDescent="0.25">
      <c r="I75" s="135"/>
      <c r="J75" s="135"/>
      <c r="K75" s="19"/>
      <c r="L75" s="19"/>
      <c r="M75" s="19"/>
      <c r="N75" s="19"/>
      <c r="P75" s="27">
        <v>50</v>
      </c>
      <c r="Q75" s="78"/>
      <c r="R75" s="81" t="str">
        <f t="shared" si="1"/>
        <v/>
      </c>
      <c r="S75" s="74"/>
      <c r="T75" s="128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30"/>
    </row>
    <row r="76" spans="9:31" x14ac:dyDescent="0.25">
      <c r="I76" s="135"/>
      <c r="J76" s="135"/>
      <c r="K76" s="19"/>
      <c r="L76" s="19"/>
      <c r="M76" s="19"/>
      <c r="N76" s="19"/>
      <c r="P76" s="27">
        <v>51</v>
      </c>
      <c r="Q76" s="78"/>
      <c r="R76" s="81" t="str">
        <f t="shared" si="1"/>
        <v/>
      </c>
      <c r="S76" s="74"/>
      <c r="T76" s="12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30"/>
    </row>
    <row r="77" spans="9:31" x14ac:dyDescent="0.25">
      <c r="I77" s="135"/>
      <c r="J77" s="135"/>
      <c r="K77" s="19"/>
      <c r="L77" s="19"/>
      <c r="M77" s="19"/>
      <c r="N77" s="19"/>
      <c r="P77" s="27">
        <v>52</v>
      </c>
      <c r="Q77" s="78"/>
      <c r="R77" s="81" t="str">
        <f t="shared" si="1"/>
        <v/>
      </c>
      <c r="S77" s="74"/>
      <c r="T77" s="128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30"/>
    </row>
    <row r="78" spans="9:31" x14ac:dyDescent="0.25">
      <c r="I78" s="135"/>
      <c r="J78" s="135"/>
      <c r="K78" s="19"/>
      <c r="L78" s="19"/>
      <c r="M78" s="19"/>
      <c r="N78" s="19"/>
      <c r="P78" s="27">
        <v>53</v>
      </c>
      <c r="Q78" s="78"/>
      <c r="R78" s="81" t="str">
        <f t="shared" si="1"/>
        <v/>
      </c>
      <c r="S78" s="74"/>
      <c r="T78" s="128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30"/>
    </row>
    <row r="79" spans="9:31" x14ac:dyDescent="0.25">
      <c r="I79" s="135"/>
      <c r="J79" s="135"/>
      <c r="K79" s="19"/>
      <c r="L79" s="19"/>
      <c r="M79" s="19"/>
      <c r="N79" s="19"/>
      <c r="P79" s="27">
        <v>54</v>
      </c>
      <c r="Q79" s="78"/>
      <c r="R79" s="81" t="str">
        <f t="shared" si="1"/>
        <v/>
      </c>
      <c r="S79" s="74"/>
      <c r="T79" s="128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30"/>
    </row>
    <row r="80" spans="9:31" x14ac:dyDescent="0.25">
      <c r="I80" s="19"/>
      <c r="J80" s="19"/>
      <c r="K80" s="19"/>
      <c r="L80" s="19"/>
      <c r="M80" s="19"/>
      <c r="N80" s="19"/>
      <c r="P80" s="27">
        <v>55</v>
      </c>
      <c r="Q80" s="78"/>
      <c r="R80" s="81" t="str">
        <f t="shared" si="1"/>
        <v/>
      </c>
      <c r="S80" s="74"/>
      <c r="T80" s="128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30"/>
    </row>
    <row r="81" spans="9:31" x14ac:dyDescent="0.25">
      <c r="I81" s="19"/>
      <c r="J81" s="19"/>
      <c r="K81" s="19"/>
      <c r="L81" s="19"/>
      <c r="M81" s="19"/>
      <c r="N81" s="19"/>
      <c r="P81" s="27">
        <v>56</v>
      </c>
      <c r="Q81" s="78"/>
      <c r="R81" s="81" t="str">
        <f t="shared" si="1"/>
        <v/>
      </c>
      <c r="S81" s="74"/>
      <c r="T81" s="128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30"/>
    </row>
    <row r="82" spans="9:31" x14ac:dyDescent="0.25">
      <c r="I82" s="19"/>
      <c r="J82" s="19"/>
      <c r="K82" s="19"/>
      <c r="L82" s="19"/>
      <c r="M82" s="19"/>
      <c r="N82" s="19"/>
      <c r="P82" s="27">
        <v>57</v>
      </c>
      <c r="Q82" s="78"/>
      <c r="R82" s="81" t="str">
        <f t="shared" si="1"/>
        <v/>
      </c>
      <c r="S82" s="74"/>
      <c r="T82" s="128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30"/>
    </row>
    <row r="83" spans="9:31" x14ac:dyDescent="0.25">
      <c r="I83" s="19"/>
      <c r="J83" s="19"/>
      <c r="K83" s="19"/>
      <c r="L83" s="19"/>
      <c r="M83" s="19"/>
      <c r="N83" s="19"/>
      <c r="P83" s="27">
        <v>58</v>
      </c>
      <c r="Q83" s="78"/>
      <c r="R83" s="81" t="str">
        <f t="shared" si="1"/>
        <v/>
      </c>
      <c r="S83" s="74"/>
      <c r="T83" s="128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30"/>
    </row>
    <row r="84" spans="9:31" x14ac:dyDescent="0.25">
      <c r="I84" s="19"/>
      <c r="J84" s="19"/>
      <c r="K84" s="19"/>
      <c r="L84" s="19"/>
      <c r="M84" s="19"/>
      <c r="N84" s="19"/>
      <c r="P84" s="27">
        <v>59</v>
      </c>
      <c r="Q84" s="78"/>
      <c r="R84" s="81" t="str">
        <f t="shared" si="1"/>
        <v/>
      </c>
      <c r="S84" s="74"/>
      <c r="T84" s="128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30"/>
    </row>
    <row r="85" spans="9:31" x14ac:dyDescent="0.25">
      <c r="I85" s="19"/>
      <c r="J85" s="19"/>
      <c r="K85" s="19"/>
      <c r="L85" s="19"/>
      <c r="M85" s="19"/>
      <c r="N85" s="19"/>
      <c r="P85" s="27">
        <v>60</v>
      </c>
      <c r="Q85" s="78"/>
      <c r="R85" s="81" t="str">
        <f t="shared" si="1"/>
        <v/>
      </c>
      <c r="S85" s="74"/>
      <c r="T85" s="128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30"/>
    </row>
    <row r="86" spans="9:31" x14ac:dyDescent="0.25">
      <c r="I86" s="19"/>
      <c r="J86" s="19"/>
      <c r="K86" s="19"/>
      <c r="L86" s="19"/>
      <c r="M86" s="19"/>
      <c r="N86" s="19"/>
      <c r="P86" s="27">
        <v>61</v>
      </c>
      <c r="Q86" s="78"/>
      <c r="R86" s="81" t="str">
        <f t="shared" si="1"/>
        <v/>
      </c>
      <c r="S86" s="74"/>
      <c r="T86" s="128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30"/>
    </row>
    <row r="87" spans="9:31" x14ac:dyDescent="0.25">
      <c r="I87" s="19"/>
      <c r="J87" s="19"/>
      <c r="K87" s="19"/>
      <c r="L87" s="19"/>
      <c r="M87" s="19"/>
      <c r="N87" s="19"/>
      <c r="P87" s="27">
        <v>62</v>
      </c>
      <c r="Q87" s="78"/>
      <c r="R87" s="81" t="str">
        <f t="shared" si="1"/>
        <v/>
      </c>
      <c r="S87" s="74"/>
      <c r="T87" s="128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30"/>
    </row>
    <row r="88" spans="9:31" x14ac:dyDescent="0.25">
      <c r="I88" s="19"/>
      <c r="J88" s="19"/>
      <c r="K88" s="19"/>
      <c r="L88" s="19"/>
      <c r="M88" s="19"/>
      <c r="N88" s="19"/>
      <c r="P88" s="27">
        <v>63</v>
      </c>
      <c r="Q88" s="78"/>
      <c r="R88" s="81" t="str">
        <f t="shared" si="1"/>
        <v/>
      </c>
      <c r="S88" s="74"/>
      <c r="T88" s="128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30"/>
    </row>
    <row r="89" spans="9:31" x14ac:dyDescent="0.25">
      <c r="I89" s="19"/>
      <c r="J89" s="19"/>
      <c r="K89" s="19"/>
      <c r="L89" s="19"/>
      <c r="M89" s="19"/>
      <c r="N89" s="19"/>
      <c r="P89" s="27">
        <v>64</v>
      </c>
      <c r="Q89" s="78"/>
      <c r="R89" s="81" t="str">
        <f t="shared" si="1"/>
        <v/>
      </c>
      <c r="S89" s="74"/>
      <c r="T89" s="128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30"/>
    </row>
    <row r="90" spans="9:31" x14ac:dyDescent="0.25">
      <c r="I90" s="19"/>
      <c r="J90" s="19"/>
      <c r="K90" s="19"/>
      <c r="L90" s="19"/>
      <c r="M90" s="19"/>
      <c r="N90" s="19"/>
      <c r="P90" s="27">
        <v>65</v>
      </c>
      <c r="Q90" s="78"/>
      <c r="R90" s="81" t="str">
        <f t="shared" si="1"/>
        <v/>
      </c>
      <c r="S90" s="74"/>
      <c r="T90" s="128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30"/>
    </row>
    <row r="91" spans="9:31" x14ac:dyDescent="0.25">
      <c r="I91" s="19"/>
      <c r="J91" s="19"/>
      <c r="K91" s="19"/>
      <c r="L91" s="19"/>
      <c r="M91" s="19"/>
      <c r="N91" s="19"/>
      <c r="P91" s="27">
        <v>66</v>
      </c>
      <c r="Q91" s="78"/>
      <c r="R91" s="81" t="str">
        <f t="shared" ref="R91:R125" si="3">IF(Q91="","",IF(Q91="","",1))</f>
        <v/>
      </c>
      <c r="S91" s="74"/>
      <c r="T91" s="128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30"/>
    </row>
    <row r="92" spans="9:31" x14ac:dyDescent="0.25">
      <c r="I92" s="19"/>
      <c r="J92" s="19"/>
      <c r="K92" s="19"/>
      <c r="L92" s="19"/>
      <c r="M92" s="19"/>
      <c r="N92" s="19"/>
      <c r="P92" s="27">
        <v>67</v>
      </c>
      <c r="Q92" s="78"/>
      <c r="R92" s="81" t="str">
        <f t="shared" si="3"/>
        <v/>
      </c>
      <c r="S92" s="74"/>
      <c r="T92" s="128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30"/>
    </row>
    <row r="93" spans="9:31" x14ac:dyDescent="0.25">
      <c r="I93" s="19"/>
      <c r="J93" s="19"/>
      <c r="K93" s="19"/>
      <c r="L93" s="19"/>
      <c r="M93" s="19"/>
      <c r="N93" s="19"/>
      <c r="P93" s="27">
        <v>68</v>
      </c>
      <c r="Q93" s="78"/>
      <c r="R93" s="81" t="str">
        <f t="shared" si="3"/>
        <v/>
      </c>
      <c r="S93" s="74"/>
      <c r="T93" s="128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30"/>
    </row>
    <row r="94" spans="9:31" x14ac:dyDescent="0.25">
      <c r="I94" s="19"/>
      <c r="J94" s="19"/>
      <c r="K94" s="19"/>
      <c r="L94" s="19"/>
      <c r="M94" s="19"/>
      <c r="N94" s="19"/>
      <c r="P94" s="27">
        <v>69</v>
      </c>
      <c r="Q94" s="78"/>
      <c r="R94" s="81" t="str">
        <f t="shared" si="3"/>
        <v/>
      </c>
      <c r="S94" s="74"/>
      <c r="T94" s="128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30"/>
    </row>
    <row r="95" spans="9:31" x14ac:dyDescent="0.25">
      <c r="I95" s="19"/>
      <c r="J95" s="19"/>
      <c r="K95" s="19"/>
      <c r="L95" s="19"/>
      <c r="M95" s="19"/>
      <c r="N95" s="19"/>
      <c r="P95" s="27">
        <v>70</v>
      </c>
      <c r="Q95" s="78"/>
      <c r="R95" s="81" t="str">
        <f t="shared" si="3"/>
        <v/>
      </c>
      <c r="S95" s="74"/>
      <c r="T95" s="128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30"/>
    </row>
    <row r="96" spans="9:31" x14ac:dyDescent="0.25">
      <c r="I96" s="19"/>
      <c r="J96" s="19"/>
      <c r="K96" s="19"/>
      <c r="L96" s="19"/>
      <c r="M96" s="19"/>
      <c r="N96" s="19"/>
      <c r="P96" s="27">
        <v>71</v>
      </c>
      <c r="Q96" s="78"/>
      <c r="R96" s="81" t="str">
        <f t="shared" si="3"/>
        <v/>
      </c>
      <c r="S96" s="74"/>
      <c r="T96" s="128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30"/>
    </row>
    <row r="97" spans="9:31" x14ac:dyDescent="0.25">
      <c r="I97" s="19"/>
      <c r="J97" s="19"/>
      <c r="K97" s="19"/>
      <c r="L97" s="19"/>
      <c r="M97" s="19"/>
      <c r="N97" s="19"/>
      <c r="P97" s="27">
        <v>72</v>
      </c>
      <c r="Q97" s="78"/>
      <c r="R97" s="81" t="str">
        <f t="shared" si="3"/>
        <v/>
      </c>
      <c r="S97" s="74"/>
      <c r="T97" s="128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30"/>
    </row>
    <row r="98" spans="9:31" x14ac:dyDescent="0.25">
      <c r="I98" s="19"/>
      <c r="J98" s="19"/>
      <c r="K98" s="19"/>
      <c r="L98" s="19"/>
      <c r="M98" s="19"/>
      <c r="N98" s="19"/>
      <c r="P98" s="27">
        <v>73</v>
      </c>
      <c r="Q98" s="78"/>
      <c r="R98" s="81" t="str">
        <f t="shared" si="3"/>
        <v/>
      </c>
      <c r="S98" s="74"/>
      <c r="T98" s="128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30"/>
    </row>
    <row r="99" spans="9:31" x14ac:dyDescent="0.25">
      <c r="I99" s="19"/>
      <c r="J99" s="19"/>
      <c r="K99" s="19"/>
      <c r="L99" s="19"/>
      <c r="M99" s="19"/>
      <c r="N99" s="19"/>
      <c r="P99" s="27">
        <v>74</v>
      </c>
      <c r="Q99" s="78"/>
      <c r="R99" s="81" t="str">
        <f t="shared" si="3"/>
        <v/>
      </c>
      <c r="S99" s="74"/>
      <c r="T99" s="128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30"/>
    </row>
    <row r="100" spans="9:31" x14ac:dyDescent="0.25">
      <c r="I100" s="19"/>
      <c r="J100" s="19"/>
      <c r="K100" s="19"/>
      <c r="L100" s="19"/>
      <c r="M100" s="19"/>
      <c r="N100" s="19"/>
      <c r="P100" s="27">
        <v>75</v>
      </c>
      <c r="Q100" s="78"/>
      <c r="R100" s="81" t="str">
        <f t="shared" si="3"/>
        <v/>
      </c>
      <c r="S100" s="74"/>
      <c r="T100" s="128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30"/>
    </row>
    <row r="101" spans="9:31" x14ac:dyDescent="0.25">
      <c r="I101" s="19"/>
      <c r="J101" s="19"/>
      <c r="K101" s="19"/>
      <c r="L101" s="19"/>
      <c r="M101" s="19"/>
      <c r="N101" s="19"/>
      <c r="P101" s="27">
        <v>76</v>
      </c>
      <c r="Q101" s="78"/>
      <c r="R101" s="81" t="str">
        <f t="shared" si="3"/>
        <v/>
      </c>
      <c r="S101" s="74"/>
      <c r="T101" s="128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</row>
    <row r="102" spans="9:31" x14ac:dyDescent="0.25">
      <c r="I102" s="19"/>
      <c r="J102" s="19"/>
      <c r="K102" s="19"/>
      <c r="L102" s="19"/>
      <c r="M102" s="19"/>
      <c r="N102" s="19"/>
      <c r="P102" s="27">
        <v>77</v>
      </c>
      <c r="Q102" s="78"/>
      <c r="R102" s="81" t="str">
        <f t="shared" si="3"/>
        <v/>
      </c>
      <c r="S102" s="74"/>
      <c r="T102" s="128"/>
      <c r="U102" s="129"/>
      <c r="V102" s="129"/>
      <c r="W102" s="129"/>
      <c r="X102" s="129"/>
      <c r="Y102" s="129"/>
      <c r="Z102" s="129"/>
      <c r="AA102" s="129"/>
      <c r="AB102" s="129"/>
      <c r="AC102" s="129"/>
      <c r="AD102" s="129"/>
      <c r="AE102" s="130"/>
    </row>
    <row r="103" spans="9:31" x14ac:dyDescent="0.25">
      <c r="I103" s="19"/>
      <c r="J103" s="19"/>
      <c r="K103" s="19"/>
      <c r="L103" s="19"/>
      <c r="M103" s="19"/>
      <c r="N103" s="19"/>
      <c r="P103" s="27">
        <v>78</v>
      </c>
      <c r="Q103" s="78"/>
      <c r="R103" s="81" t="str">
        <f t="shared" si="3"/>
        <v/>
      </c>
      <c r="S103" s="74"/>
      <c r="T103" s="128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30"/>
    </row>
    <row r="104" spans="9:31" x14ac:dyDescent="0.25">
      <c r="I104" s="19"/>
      <c r="J104" s="19"/>
      <c r="K104" s="19"/>
      <c r="L104" s="19"/>
      <c r="M104" s="19"/>
      <c r="N104" s="19"/>
      <c r="P104" s="27">
        <v>79</v>
      </c>
      <c r="Q104" s="78"/>
      <c r="R104" s="81" t="str">
        <f t="shared" si="3"/>
        <v/>
      </c>
      <c r="S104" s="74"/>
      <c r="T104" s="128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30"/>
    </row>
    <row r="105" spans="9:31" x14ac:dyDescent="0.25">
      <c r="I105" s="19"/>
      <c r="J105" s="19"/>
      <c r="K105" s="19"/>
      <c r="L105" s="19"/>
      <c r="M105" s="19"/>
      <c r="N105" s="19"/>
      <c r="P105" s="27">
        <v>80</v>
      </c>
      <c r="Q105" s="78"/>
      <c r="R105" s="81" t="str">
        <f t="shared" si="3"/>
        <v/>
      </c>
      <c r="S105" s="74"/>
      <c r="T105" s="128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30"/>
    </row>
    <row r="106" spans="9:31" x14ac:dyDescent="0.25">
      <c r="P106" s="27">
        <v>81</v>
      </c>
      <c r="Q106" s="78"/>
      <c r="R106" s="81" t="str">
        <f t="shared" si="3"/>
        <v/>
      </c>
      <c r="S106" s="74"/>
      <c r="T106" s="128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30"/>
    </row>
    <row r="107" spans="9:31" x14ac:dyDescent="0.25">
      <c r="P107" s="27">
        <v>82</v>
      </c>
      <c r="Q107" s="78"/>
      <c r="R107" s="81" t="str">
        <f t="shared" si="3"/>
        <v/>
      </c>
      <c r="S107" s="74"/>
      <c r="T107" s="128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30"/>
    </row>
    <row r="108" spans="9:31" x14ac:dyDescent="0.25">
      <c r="P108" s="27">
        <v>83</v>
      </c>
      <c r="Q108" s="78"/>
      <c r="R108" s="81" t="str">
        <f t="shared" si="3"/>
        <v/>
      </c>
      <c r="S108" s="74"/>
      <c r="T108" s="128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30"/>
    </row>
    <row r="109" spans="9:31" x14ac:dyDescent="0.25">
      <c r="P109" s="27">
        <v>84</v>
      </c>
      <c r="Q109" s="78"/>
      <c r="R109" s="81" t="str">
        <f t="shared" si="3"/>
        <v/>
      </c>
      <c r="S109" s="74"/>
      <c r="T109" s="128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30"/>
    </row>
    <row r="110" spans="9:31" x14ac:dyDescent="0.25">
      <c r="P110" s="27">
        <v>85</v>
      </c>
      <c r="Q110" s="78"/>
      <c r="R110" s="81" t="str">
        <f t="shared" si="3"/>
        <v/>
      </c>
      <c r="S110" s="74"/>
      <c r="T110" s="128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30"/>
    </row>
    <row r="111" spans="9:31" x14ac:dyDescent="0.25">
      <c r="P111" s="27">
        <v>86</v>
      </c>
      <c r="Q111" s="78"/>
      <c r="R111" s="81" t="str">
        <f t="shared" si="3"/>
        <v/>
      </c>
      <c r="S111" s="74"/>
      <c r="T111" s="128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30"/>
    </row>
    <row r="112" spans="9:31" x14ac:dyDescent="0.25">
      <c r="P112" s="27">
        <v>87</v>
      </c>
      <c r="Q112" s="78"/>
      <c r="R112" s="81" t="str">
        <f t="shared" si="3"/>
        <v/>
      </c>
      <c r="S112" s="74"/>
      <c r="T112" s="128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30"/>
    </row>
    <row r="113" spans="16:31" x14ac:dyDescent="0.25">
      <c r="P113" s="27">
        <v>88</v>
      </c>
      <c r="Q113" s="78"/>
      <c r="R113" s="81" t="str">
        <f t="shared" si="3"/>
        <v/>
      </c>
      <c r="S113" s="74"/>
      <c r="T113" s="128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30"/>
    </row>
    <row r="114" spans="16:31" x14ac:dyDescent="0.25">
      <c r="P114" s="27">
        <v>89</v>
      </c>
      <c r="Q114" s="78"/>
      <c r="R114" s="81" t="str">
        <f t="shared" si="3"/>
        <v/>
      </c>
      <c r="S114" s="74"/>
      <c r="T114" s="128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30"/>
    </row>
    <row r="115" spans="16:31" x14ac:dyDescent="0.25">
      <c r="P115" s="27">
        <v>90</v>
      </c>
      <c r="Q115" s="78"/>
      <c r="R115" s="81" t="str">
        <f t="shared" si="3"/>
        <v/>
      </c>
      <c r="S115" s="74"/>
      <c r="T115" s="128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30"/>
    </row>
    <row r="116" spans="16:31" x14ac:dyDescent="0.25">
      <c r="P116" s="27">
        <v>91</v>
      </c>
      <c r="Q116" s="78"/>
      <c r="R116" s="81" t="str">
        <f t="shared" si="3"/>
        <v/>
      </c>
      <c r="S116" s="74"/>
      <c r="T116" s="128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30"/>
    </row>
    <row r="117" spans="16:31" x14ac:dyDescent="0.25">
      <c r="P117" s="27">
        <v>92</v>
      </c>
      <c r="Q117" s="78"/>
      <c r="R117" s="81" t="str">
        <f t="shared" si="3"/>
        <v/>
      </c>
      <c r="S117" s="74"/>
      <c r="T117" s="128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30"/>
    </row>
    <row r="118" spans="16:31" x14ac:dyDescent="0.25">
      <c r="P118" s="27">
        <v>93</v>
      </c>
      <c r="Q118" s="78"/>
      <c r="R118" s="81" t="str">
        <f t="shared" si="3"/>
        <v/>
      </c>
      <c r="S118" s="74"/>
      <c r="T118" s="128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30"/>
    </row>
    <row r="119" spans="16:31" x14ac:dyDescent="0.25">
      <c r="P119" s="27">
        <v>94</v>
      </c>
      <c r="Q119" s="78"/>
      <c r="R119" s="81" t="str">
        <f t="shared" si="3"/>
        <v/>
      </c>
      <c r="S119" s="74"/>
      <c r="T119" s="128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30"/>
    </row>
    <row r="120" spans="16:31" x14ac:dyDescent="0.25">
      <c r="P120" s="27">
        <v>95</v>
      </c>
      <c r="Q120" s="78"/>
      <c r="R120" s="81" t="str">
        <f t="shared" si="3"/>
        <v/>
      </c>
      <c r="S120" s="74"/>
      <c r="T120" s="128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30"/>
    </row>
    <row r="121" spans="16:31" x14ac:dyDescent="0.25">
      <c r="P121" s="27">
        <v>96</v>
      </c>
      <c r="Q121" s="78"/>
      <c r="R121" s="81" t="str">
        <f t="shared" si="3"/>
        <v/>
      </c>
      <c r="S121" s="74"/>
      <c r="T121" s="128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30"/>
    </row>
    <row r="122" spans="16:31" x14ac:dyDescent="0.25">
      <c r="P122" s="27">
        <v>97</v>
      </c>
      <c r="Q122" s="78"/>
      <c r="R122" s="81" t="str">
        <f t="shared" si="3"/>
        <v/>
      </c>
      <c r="S122" s="74"/>
      <c r="T122" s="128"/>
      <c r="U122" s="129"/>
      <c r="V122" s="129"/>
      <c r="W122" s="129"/>
      <c r="X122" s="129"/>
      <c r="Y122" s="129"/>
      <c r="Z122" s="129"/>
      <c r="AA122" s="129"/>
      <c r="AB122" s="129"/>
      <c r="AC122" s="129"/>
      <c r="AD122" s="129"/>
      <c r="AE122" s="130"/>
    </row>
    <row r="123" spans="16:31" x14ac:dyDescent="0.25">
      <c r="P123" s="27">
        <v>98</v>
      </c>
      <c r="Q123" s="78"/>
      <c r="R123" s="81" t="str">
        <f t="shared" si="3"/>
        <v/>
      </c>
      <c r="S123" s="74"/>
      <c r="T123" s="128"/>
      <c r="U123" s="129"/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30"/>
    </row>
    <row r="124" spans="16:31" x14ac:dyDescent="0.25">
      <c r="P124" s="27">
        <v>99</v>
      </c>
      <c r="Q124" s="78"/>
      <c r="R124" s="81" t="str">
        <f t="shared" si="3"/>
        <v/>
      </c>
      <c r="S124" s="74"/>
      <c r="T124" s="128"/>
      <c r="U124" s="129"/>
      <c r="V124" s="129"/>
      <c r="W124" s="129"/>
      <c r="X124" s="129"/>
      <c r="Y124" s="129"/>
      <c r="Z124" s="129"/>
      <c r="AA124" s="129"/>
      <c r="AB124" s="129"/>
      <c r="AC124" s="129"/>
      <c r="AD124" s="129"/>
      <c r="AE124" s="130"/>
    </row>
    <row r="125" spans="16:31" x14ac:dyDescent="0.25">
      <c r="P125" s="27">
        <v>100</v>
      </c>
      <c r="Q125" s="78"/>
      <c r="R125" s="82" t="str">
        <f t="shared" si="3"/>
        <v/>
      </c>
      <c r="S125" s="74"/>
      <c r="T125" s="131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3"/>
    </row>
  </sheetData>
  <mergeCells count="195">
    <mergeCell ref="S23:S24"/>
    <mergeCell ref="C26:D26"/>
    <mergeCell ref="I26:N26"/>
    <mergeCell ref="C27:D27"/>
    <mergeCell ref="I27:N27"/>
    <mergeCell ref="R16:R24"/>
    <mergeCell ref="C28:D28"/>
    <mergeCell ref="I28:N28"/>
    <mergeCell ref="D9:M9"/>
    <mergeCell ref="D11:G11"/>
    <mergeCell ref="K11:M11"/>
    <mergeCell ref="K13:M13"/>
    <mergeCell ref="K17:M17"/>
    <mergeCell ref="K19:M19"/>
    <mergeCell ref="C32:D32"/>
    <mergeCell ref="I32:N32"/>
    <mergeCell ref="C33:D33"/>
    <mergeCell ref="I33:N33"/>
    <mergeCell ref="C34:D34"/>
    <mergeCell ref="I34:N34"/>
    <mergeCell ref="C29:D29"/>
    <mergeCell ref="I29:N29"/>
    <mergeCell ref="C30:D30"/>
    <mergeCell ref="I30:N30"/>
    <mergeCell ref="C31:D31"/>
    <mergeCell ref="I31:N31"/>
    <mergeCell ref="C45:D45"/>
    <mergeCell ref="I45:N45"/>
    <mergeCell ref="C46:D46"/>
    <mergeCell ref="I46:N46"/>
    <mergeCell ref="I42:N42"/>
    <mergeCell ref="C35:D35"/>
    <mergeCell ref="I35:N35"/>
    <mergeCell ref="C36:D36"/>
    <mergeCell ref="I36:N36"/>
    <mergeCell ref="C37:D37"/>
    <mergeCell ref="I37:N37"/>
    <mergeCell ref="C38:D38"/>
    <mergeCell ref="I38:N38"/>
    <mergeCell ref="C39:D39"/>
    <mergeCell ref="K40:L40"/>
    <mergeCell ref="C41:D41"/>
    <mergeCell ref="C42:D42"/>
    <mergeCell ref="C43:D43"/>
    <mergeCell ref="C44:D44"/>
    <mergeCell ref="C50:D50"/>
    <mergeCell ref="I50:N50"/>
    <mergeCell ref="C51:D51"/>
    <mergeCell ref="I51:N51"/>
    <mergeCell ref="C52:D52"/>
    <mergeCell ref="I52:N52"/>
    <mergeCell ref="C47:D47"/>
    <mergeCell ref="I47:N47"/>
    <mergeCell ref="C48:D48"/>
    <mergeCell ref="I48:N48"/>
    <mergeCell ref="C49:D49"/>
    <mergeCell ref="I49:N49"/>
    <mergeCell ref="C56:D56"/>
    <mergeCell ref="I56:N56"/>
    <mergeCell ref="C57:D57"/>
    <mergeCell ref="I57:N57"/>
    <mergeCell ref="C58:D58"/>
    <mergeCell ref="I58:N58"/>
    <mergeCell ref="C53:D53"/>
    <mergeCell ref="I53:N53"/>
    <mergeCell ref="C54:D54"/>
    <mergeCell ref="I54:N54"/>
    <mergeCell ref="C55:D55"/>
    <mergeCell ref="I55:N55"/>
    <mergeCell ref="C59:D59"/>
    <mergeCell ref="I59:N59"/>
    <mergeCell ref="C60:D60"/>
    <mergeCell ref="I60:N60"/>
    <mergeCell ref="C61:D61"/>
    <mergeCell ref="I61:N61"/>
    <mergeCell ref="C62:D62"/>
    <mergeCell ref="I62:N62"/>
    <mergeCell ref="I64:K64"/>
    <mergeCell ref="M64:N64"/>
    <mergeCell ref="T26:AE26"/>
    <mergeCell ref="T27:AE27"/>
    <mergeCell ref="T28:AE28"/>
    <mergeCell ref="T29:AE29"/>
    <mergeCell ref="T30:AE30"/>
    <mergeCell ref="I76:J76"/>
    <mergeCell ref="I77:J77"/>
    <mergeCell ref="I78:J78"/>
    <mergeCell ref="I79:J79"/>
    <mergeCell ref="I70:J70"/>
    <mergeCell ref="I71:J71"/>
    <mergeCell ref="I72:J72"/>
    <mergeCell ref="I73:J73"/>
    <mergeCell ref="I74:J74"/>
    <mergeCell ref="I75:J75"/>
    <mergeCell ref="I69:J69"/>
    <mergeCell ref="I68:J68"/>
    <mergeCell ref="I43:N43"/>
    <mergeCell ref="I44:N44"/>
    <mergeCell ref="T36:AE36"/>
    <mergeCell ref="T37:AE37"/>
    <mergeCell ref="T38:AE38"/>
    <mergeCell ref="T39:AE39"/>
    <mergeCell ref="T40:AE40"/>
    <mergeCell ref="T31:AE31"/>
    <mergeCell ref="T32:AE32"/>
    <mergeCell ref="T33:AE33"/>
    <mergeCell ref="T34:AE34"/>
    <mergeCell ref="T35:AE35"/>
    <mergeCell ref="T46:AE46"/>
    <mergeCell ref="T47:AE47"/>
    <mergeCell ref="T48:AE48"/>
    <mergeCell ref="T49:AE49"/>
    <mergeCell ref="T50:AE50"/>
    <mergeCell ref="T41:AE41"/>
    <mergeCell ref="T42:AE42"/>
    <mergeCell ref="T43:AE43"/>
    <mergeCell ref="T44:AE44"/>
    <mergeCell ref="T45:AE45"/>
    <mergeCell ref="T56:AE56"/>
    <mergeCell ref="T57:AE57"/>
    <mergeCell ref="T58:AE58"/>
    <mergeCell ref="T59:AE59"/>
    <mergeCell ref="T60:AE60"/>
    <mergeCell ref="T51:AE51"/>
    <mergeCell ref="T52:AE52"/>
    <mergeCell ref="T53:AE53"/>
    <mergeCell ref="T54:AE54"/>
    <mergeCell ref="T55:AE55"/>
    <mergeCell ref="T66:AE66"/>
    <mergeCell ref="T67:AE67"/>
    <mergeCell ref="T68:AE68"/>
    <mergeCell ref="T69:AE69"/>
    <mergeCell ref="T70:AE70"/>
    <mergeCell ref="T61:AE61"/>
    <mergeCell ref="T62:AE62"/>
    <mergeCell ref="T63:AE63"/>
    <mergeCell ref="T64:AE64"/>
    <mergeCell ref="T65:AE65"/>
    <mergeCell ref="T76:AE76"/>
    <mergeCell ref="T77:AE77"/>
    <mergeCell ref="T78:AE78"/>
    <mergeCell ref="T79:AE79"/>
    <mergeCell ref="T80:AE80"/>
    <mergeCell ref="T71:AE71"/>
    <mergeCell ref="T72:AE72"/>
    <mergeCell ref="T73:AE73"/>
    <mergeCell ref="T74:AE74"/>
    <mergeCell ref="T75:AE75"/>
    <mergeCell ref="T86:AE86"/>
    <mergeCell ref="T87:AE87"/>
    <mergeCell ref="T88:AE88"/>
    <mergeCell ref="T89:AE89"/>
    <mergeCell ref="T90:AE90"/>
    <mergeCell ref="T81:AE81"/>
    <mergeCell ref="T82:AE82"/>
    <mergeCell ref="T83:AE83"/>
    <mergeCell ref="T84:AE84"/>
    <mergeCell ref="T85:AE85"/>
    <mergeCell ref="T103:AE103"/>
    <mergeCell ref="T104:AE104"/>
    <mergeCell ref="T105:AE105"/>
    <mergeCell ref="T96:AE96"/>
    <mergeCell ref="T97:AE97"/>
    <mergeCell ref="T98:AE98"/>
    <mergeCell ref="T99:AE99"/>
    <mergeCell ref="T100:AE100"/>
    <mergeCell ref="T91:AE91"/>
    <mergeCell ref="T92:AE92"/>
    <mergeCell ref="T93:AE93"/>
    <mergeCell ref="T94:AE94"/>
    <mergeCell ref="T95:AE95"/>
    <mergeCell ref="T25:AE25"/>
    <mergeCell ref="I41:N41"/>
    <mergeCell ref="T121:AE121"/>
    <mergeCell ref="T122:AE122"/>
    <mergeCell ref="T123:AE123"/>
    <mergeCell ref="T124:AE124"/>
    <mergeCell ref="T125:AE125"/>
    <mergeCell ref="T116:AE116"/>
    <mergeCell ref="T117:AE117"/>
    <mergeCell ref="T118:AE118"/>
    <mergeCell ref="T119:AE119"/>
    <mergeCell ref="T120:AE120"/>
    <mergeCell ref="T111:AE111"/>
    <mergeCell ref="T112:AE112"/>
    <mergeCell ref="T113:AE113"/>
    <mergeCell ref="T114:AE114"/>
    <mergeCell ref="T115:AE115"/>
    <mergeCell ref="T106:AE106"/>
    <mergeCell ref="T107:AE107"/>
    <mergeCell ref="T108:AE108"/>
    <mergeCell ref="T109:AE109"/>
    <mergeCell ref="T110:AE110"/>
    <mergeCell ref="T101:AE101"/>
    <mergeCell ref="T102:AE102"/>
  </mergeCells>
  <pageMargins left="0.70866141732283472" right="0.70866141732283472" top="0.59055118110236227" bottom="0.51181102362204722" header="0.31496062992125984" footer="0.31496062992125984"/>
  <pageSetup paperSize="9" scale="49" fitToHeight="0" orientation="landscape" r:id="rId1"/>
  <headerFooter>
    <oddHeader>&amp;LPrint date: &amp;D &amp;T&amp;R&amp;A</oddHeader>
    <oddFooter>&amp;L&amp;Z&amp;F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31</vt:i4>
      </vt:variant>
    </vt:vector>
  </HeadingPairs>
  <TitlesOfParts>
    <vt:vector size="62" baseType="lpstr">
      <vt:lpstr>Summary</vt:lpstr>
      <vt:lpstr>Trip (1)</vt:lpstr>
      <vt:lpstr>Trip (2)</vt:lpstr>
      <vt:lpstr>Trip (3)</vt:lpstr>
      <vt:lpstr>Trip (4)</vt:lpstr>
      <vt:lpstr>Trip (5)</vt:lpstr>
      <vt:lpstr>Trip (6)</vt:lpstr>
      <vt:lpstr>Trip (7)</vt:lpstr>
      <vt:lpstr>Trip (8)</vt:lpstr>
      <vt:lpstr>Trip (9)</vt:lpstr>
      <vt:lpstr>Trip (10)</vt:lpstr>
      <vt:lpstr>Trip (12)</vt:lpstr>
      <vt:lpstr>Trip (11)</vt:lpstr>
      <vt:lpstr>Trip (13)</vt:lpstr>
      <vt:lpstr>Trip (14)</vt:lpstr>
      <vt:lpstr>Trip (15)</vt:lpstr>
      <vt:lpstr>Trip (16)</vt:lpstr>
      <vt:lpstr>Trip (17)</vt:lpstr>
      <vt:lpstr>Trip (18)</vt:lpstr>
      <vt:lpstr>Trip (19)</vt:lpstr>
      <vt:lpstr>Trip (20)</vt:lpstr>
      <vt:lpstr>Trip (21)</vt:lpstr>
      <vt:lpstr>Trip (22)</vt:lpstr>
      <vt:lpstr>Trip (23)</vt:lpstr>
      <vt:lpstr>Trip (24)</vt:lpstr>
      <vt:lpstr>Trip (25)</vt:lpstr>
      <vt:lpstr>Trip (26)</vt:lpstr>
      <vt:lpstr>Trip (27)</vt:lpstr>
      <vt:lpstr>Trip (28)</vt:lpstr>
      <vt:lpstr>Trip (29)</vt:lpstr>
      <vt:lpstr>Trip (30)</vt:lpstr>
      <vt:lpstr>Summary!Print_Area</vt:lpstr>
      <vt:lpstr>'Trip (1)'!Print_Area</vt:lpstr>
      <vt:lpstr>'Trip (10)'!Print_Area</vt:lpstr>
      <vt:lpstr>'Trip (11)'!Print_Area</vt:lpstr>
      <vt:lpstr>'Trip (12)'!Print_Area</vt:lpstr>
      <vt:lpstr>'Trip (13)'!Print_Area</vt:lpstr>
      <vt:lpstr>'Trip (14)'!Print_Area</vt:lpstr>
      <vt:lpstr>'Trip (15)'!Print_Area</vt:lpstr>
      <vt:lpstr>'Trip (16)'!Print_Area</vt:lpstr>
      <vt:lpstr>'Trip (17)'!Print_Area</vt:lpstr>
      <vt:lpstr>'Trip (18)'!Print_Area</vt:lpstr>
      <vt:lpstr>'Trip (19)'!Print_Area</vt:lpstr>
      <vt:lpstr>'Trip (2)'!Print_Area</vt:lpstr>
      <vt:lpstr>'Trip (20)'!Print_Area</vt:lpstr>
      <vt:lpstr>'Trip (21)'!Print_Area</vt:lpstr>
      <vt:lpstr>'Trip (22)'!Print_Area</vt:lpstr>
      <vt:lpstr>'Trip (23)'!Print_Area</vt:lpstr>
      <vt:lpstr>'Trip (24)'!Print_Area</vt:lpstr>
      <vt:lpstr>'Trip (25)'!Print_Area</vt:lpstr>
      <vt:lpstr>'Trip (26)'!Print_Area</vt:lpstr>
      <vt:lpstr>'Trip (27)'!Print_Area</vt:lpstr>
      <vt:lpstr>'Trip (28)'!Print_Area</vt:lpstr>
      <vt:lpstr>'Trip (29)'!Print_Area</vt:lpstr>
      <vt:lpstr>'Trip (3)'!Print_Area</vt:lpstr>
      <vt:lpstr>'Trip (30)'!Print_Area</vt:lpstr>
      <vt:lpstr>'Trip (4)'!Print_Area</vt:lpstr>
      <vt:lpstr>'Trip (5)'!Print_Area</vt:lpstr>
      <vt:lpstr>'Trip (6)'!Print_Area</vt:lpstr>
      <vt:lpstr>'Trip (7)'!Print_Area</vt:lpstr>
      <vt:lpstr>'Trip (8)'!Print_Area</vt:lpstr>
      <vt:lpstr>'Trip (9)'!Print_Area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Rayman Wong</dc:creator>
  <cp:lastModifiedBy>Brendan Hall</cp:lastModifiedBy>
  <cp:lastPrinted>2015-10-24T14:30:11Z</cp:lastPrinted>
  <dcterms:created xsi:type="dcterms:W3CDTF">2015-02-05T22:24:17Z</dcterms:created>
  <dcterms:modified xsi:type="dcterms:W3CDTF">2021-03-04T21:23:31Z</dcterms:modified>
</cp:coreProperties>
</file>